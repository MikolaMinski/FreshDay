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Ключевые слова" sheetId="2" state="visible" r:id="rId4"/>
    <sheet name="Объявления" sheetId="3" state="visible" r:id="rId5"/>
    <sheet name="Длина текстов" sheetId="4" state="visible" r:id="rId6"/>
    <sheet name="Минус-слова" sheetId="5" state="visible" r:id="rId7"/>
    <sheet name="Расширения" sheetId="6" state="visible" r:id="rId8"/>
    <sheet name="Бюджет" sheetId="7" state="visible" r:id="rId9"/>
  </sheets>
  <definedNames>
    <definedName function="false" hidden="true" localSheetId="3" name="_xlnm._FilterDatabase" vbProcedure="false">'Длина текстов'!$A$1:$F$128</definedName>
    <definedName function="false" hidden="true" localSheetId="1" name="_xlnm._FilterDatabase" vbProcedure="false">'Ключевые слова'!$A$1:$F$58</definedName>
    <definedName function="false" hidden="true" localSheetId="4" name="_xlnm._FilterDatabase" vbProcedure="false">'Минус-слова'!$A$1:$D$50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Заголовки — до 30 символов. Google сам комбинирует их, поэтому каждый должен читаться отдельно.</t>
        </r>
      </text>
    </comment>
    <comment ref="R1" authorId="0">
      <text>
        <r>
          <rPr>
            <sz val="10"/>
            <rFont val="Arial"/>
            <family val="2"/>
          </rPr>
          <t xml:space="preserve">Описания — до 90 символов.</t>
        </r>
      </text>
    </comment>
    <comment ref="W1" authorId="0">
      <text>
        <r>
          <rPr>
            <sz val="10"/>
            <rFont val="Arial"/>
            <family val="2"/>
          </rPr>
          <t xml:space="preserve">Отображаемый путь в ссылке, до 15 символов.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3" authorId="0">
      <text>
        <r>
          <rPr>
            <sz val="10"/>
            <rFont val="Arial"/>
            <family val="2"/>
          </rPr>
          <t xml:space="preserve">Заглушка с сайта — укажите реальный номер.</t>
        </r>
      </text>
    </comment>
  </commentList>
</comments>
</file>

<file path=xl/sharedStrings.xml><?xml version="1.0" encoding="utf-8"?>
<sst xmlns="http://schemas.openxmlformats.org/spreadsheetml/2006/main" count="1261" uniqueCount="382">
  <si>
    <t xml:space="preserve">Google Ads для Fresh Day — поисковые кампании</t>
  </si>
  <si>
    <t xml:space="preserve">Перед запуском замените домен freshday.by в столбцах Final URL, если сайт будет на другом адресе.</t>
  </si>
  <si>
    <t xml:space="preserve">Настройки кампании</t>
  </si>
  <si>
    <t xml:space="preserve">Тип кампании</t>
  </si>
  <si>
    <t xml:space="preserve">Поиск (Search). Без контекстно-медийной сети (снять галочку Display Network).</t>
  </si>
  <si>
    <t xml:space="preserve">Сети</t>
  </si>
  <si>
    <t xml:space="preserve">Только поиск Google. Поисковых партнёров на старте отключить.</t>
  </si>
  <si>
    <t xml:space="preserve">География</t>
  </si>
  <si>
    <t xml:space="preserve">Минск и Минская область. Вариант таргетинга: «Присутствие — люди, которые находятся в выбранных местах или регулярно бывают там».</t>
  </si>
  <si>
    <t xml:space="preserve">Язык</t>
  </si>
  <si>
    <t xml:space="preserve">Русский и белорусский. Объявления на русском.</t>
  </si>
  <si>
    <t xml:space="preserve">Стратегия ставок</t>
  </si>
  <si>
    <t xml:space="preserve">Первые 2–4 недели: «Максимум кликов» с ограничением цены клика. После 15–30 заявок — «Максимум конверсий».</t>
  </si>
  <si>
    <t xml:space="preserve">Расписание</t>
  </si>
  <si>
    <t xml:space="preserve">Ежедневно 8:00–22:00 (заявки ночью обрабатывать некому — звонки уйдут конкурентам).</t>
  </si>
  <si>
    <t xml:space="preserve">Бюджет</t>
  </si>
  <si>
    <t xml:space="preserve">Начать с суммы, которую не жалко потерять на тест (см. лист «Бюджет»). Пересмотреть через 2–3 недели.</t>
  </si>
  <si>
    <t xml:space="preserve">Конверсии</t>
  </si>
  <si>
    <t xml:space="preserve">Импортировать из Google Analytics 4: generate_lead (заявка) и contact_click (звонок/мессенджер) — уже настроены на сайте. Добавить конверсию «Звонки из объявлений».</t>
  </si>
  <si>
    <t xml:space="preserve">Как загрузить</t>
  </si>
  <si>
    <t xml:space="preserve">1</t>
  </si>
  <si>
    <t xml:space="preserve">Установите Google Ads Editor (бесплатно) и войдите в аккаунт.</t>
  </si>
  <si>
    <t xml:space="preserve">2</t>
  </si>
  <si>
    <t xml:space="preserve">Создайте две кампании с названиями из столбца Campaign и настройками выше.</t>
  </si>
  <si>
    <t xml:space="preserve">3</t>
  </si>
  <si>
    <t xml:space="preserve">Аккаунт → «Внести несколько изменений» → вставьте строки с листа «Ключевые слова» вместе с заголовком. Группы объявлений создадутся сами.</t>
  </si>
  <si>
    <t xml:space="preserve">4</t>
  </si>
  <si>
    <t xml:space="preserve">Так же вставьте листы «Объявления» и «Минус-слова».</t>
  </si>
  <si>
    <t xml:space="preserve">5</t>
  </si>
  <si>
    <t xml:space="preserve">Расширения (быстрые ссылки, уточнения, звонок) добавьте вручную в интерфейсе на уровне кампании — тексты на листе «Расширения».</t>
  </si>
  <si>
    <t xml:space="preserve">6</t>
  </si>
  <si>
    <t xml:space="preserve">Нажмите «Проверить изменения» → «Опубликовать».</t>
  </si>
  <si>
    <t xml:space="preserve">Что проверять каждую неделю</t>
  </si>
  <si>
    <t xml:space="preserve">Поисковые запросы</t>
  </si>
  <si>
    <t xml:space="preserve">Отчёт «Поисковые запросы»: всё нерелевантное — в минус-слова.</t>
  </si>
  <si>
    <t xml:space="preserve">Стоимость заявки</t>
  </si>
  <si>
    <t xml:space="preserve">Группы, где за 2–3 недели нет заявок, — снизить ставки или выключить.</t>
  </si>
  <si>
    <t xml:space="preserve">Новые объявления</t>
  </si>
  <si>
    <t xml:space="preserve">Раз в месяц заменить заголовки с низкой оценкой («Низкая эффективность»).</t>
  </si>
  <si>
    <t xml:space="preserve">Обозначения</t>
  </si>
  <si>
    <t xml:space="preserve">Жёлтая ячейка</t>
  </si>
  <si>
    <t xml:space="preserve">Можно и нужно менять под себя.</t>
  </si>
  <si>
    <t xml:space="preserve">Красная ячейка</t>
  </si>
  <si>
    <t xml:space="preserve">Текст длиннее лимита Google — сократить.</t>
  </si>
  <si>
    <t xml:space="preserve">Campaign</t>
  </si>
  <si>
    <t xml:space="preserve">Ad group</t>
  </si>
  <si>
    <t xml:space="preserve">Keyword</t>
  </si>
  <si>
    <t xml:space="preserve">Criterion Type</t>
  </si>
  <si>
    <t xml:space="preserve">Final URL</t>
  </si>
  <si>
    <t xml:space="preserve">Тип соответствия</t>
  </si>
  <si>
    <t xml:space="preserve">Поиск — Кейтеринг Минск</t>
  </si>
  <si>
    <t xml:space="preserve">Кейтеринг — общий</t>
  </si>
  <si>
    <t xml:space="preserve">кейтеринг минск</t>
  </si>
  <si>
    <t xml:space="preserve">Exact</t>
  </si>
  <si>
    <t xml:space="preserve">https://freshday.by/</t>
  </si>
  <si>
    <t xml:space="preserve">точное — [ключ]</t>
  </si>
  <si>
    <t xml:space="preserve">Phrase</t>
  </si>
  <si>
    <t xml:space="preserve">фразовое — "ключ"</t>
  </si>
  <si>
    <t xml:space="preserve">кейтеринг в минске</t>
  </si>
  <si>
    <t xml:space="preserve">заказать кейтеринг</t>
  </si>
  <si>
    <t xml:space="preserve">кейтеринг заказать минск</t>
  </si>
  <si>
    <t xml:space="preserve">кейтеринговые услуги минск</t>
  </si>
  <si>
    <t xml:space="preserve">кейтеринговая компания минск</t>
  </si>
  <si>
    <t xml:space="preserve">выездное обслуживание минск</t>
  </si>
  <si>
    <t xml:space="preserve">кейтеринг цены минск</t>
  </si>
  <si>
    <t xml:space="preserve">кейтеринг под ключ</t>
  </si>
  <si>
    <t xml:space="preserve">Фуршет</t>
  </si>
  <si>
    <t xml:space="preserve">фуршет минск</t>
  </si>
  <si>
    <t xml:space="preserve">https://freshday.by/uslugi/furshet/</t>
  </si>
  <si>
    <t xml:space="preserve">заказать фуршет</t>
  </si>
  <si>
    <t xml:space="preserve">фуршет на заказ минск</t>
  </si>
  <si>
    <t xml:space="preserve">фуршет с доставкой минск</t>
  </si>
  <si>
    <t xml:space="preserve">фуршет в офис</t>
  </si>
  <si>
    <t xml:space="preserve">канапе на заказ минск</t>
  </si>
  <si>
    <t xml:space="preserve">фуршет цена на человека</t>
  </si>
  <si>
    <t xml:space="preserve">фуршетное меню заказать</t>
  </si>
  <si>
    <t xml:space="preserve">Банкет</t>
  </si>
  <si>
    <t xml:space="preserve">выездной банкет минск</t>
  </si>
  <si>
    <t xml:space="preserve">https://freshday.by/uslugi/banket/</t>
  </si>
  <si>
    <t xml:space="preserve">банкет на выезде</t>
  </si>
  <si>
    <t xml:space="preserve">заказать банкет с обслуживанием</t>
  </si>
  <si>
    <t xml:space="preserve">кейтеринг банкет</t>
  </si>
  <si>
    <t xml:space="preserve">банкет на дому минск</t>
  </si>
  <si>
    <t xml:space="preserve">обслуживание банкета официанты</t>
  </si>
  <si>
    <t xml:space="preserve">юбилей кейтеринг минск</t>
  </si>
  <si>
    <t xml:space="preserve">Кофе-брейк</t>
  </si>
  <si>
    <t xml:space="preserve">кофе брейк минск</t>
  </si>
  <si>
    <t xml:space="preserve">https://freshday.by/uslugi/kofe-breik/</t>
  </si>
  <si>
    <t xml:space="preserve">заказать кофе брейк</t>
  </si>
  <si>
    <t xml:space="preserve">кофе брейк на конференцию</t>
  </si>
  <si>
    <t xml:space="preserve">кофе брейк для семинара</t>
  </si>
  <si>
    <t xml:space="preserve">организация кофе брейка</t>
  </si>
  <si>
    <t xml:space="preserve">кофе брейк цена</t>
  </si>
  <si>
    <t xml:space="preserve">Свадьба</t>
  </si>
  <si>
    <t xml:space="preserve">кейтеринг на свадьбу</t>
  </si>
  <si>
    <t xml:space="preserve">https://freshday.by/uslugi/svadba/</t>
  </si>
  <si>
    <t xml:space="preserve">свадебный кейтеринг минск</t>
  </si>
  <si>
    <t xml:space="preserve">выездная свадьба кейтеринг</t>
  </si>
  <si>
    <t xml:space="preserve">свадебный банкет на выезде</t>
  </si>
  <si>
    <t xml:space="preserve">кейтеринг свадьба минск</t>
  </si>
  <si>
    <t xml:space="preserve">Корпоратив</t>
  </si>
  <si>
    <t xml:space="preserve">кейтеринг на корпоратив</t>
  </si>
  <si>
    <t xml:space="preserve">https://freshday.by/uslugi/korporativ/</t>
  </si>
  <si>
    <t xml:space="preserve">корпоративный кейтеринг минск</t>
  </si>
  <si>
    <t xml:space="preserve">корпоратив в офисе еда</t>
  </si>
  <si>
    <t xml:space="preserve">новогодний корпоратив кейтеринг</t>
  </si>
  <si>
    <t xml:space="preserve">кейтеринг для компании</t>
  </si>
  <si>
    <t xml:space="preserve">заказать еду на корпоратив</t>
  </si>
  <si>
    <t xml:space="preserve">Выездной кейтеринг</t>
  </si>
  <si>
    <t xml:space="preserve">выездной кейтеринг</t>
  </si>
  <si>
    <t xml:space="preserve">https://freshday.by/uslugi/vyezdnoj-keytering/</t>
  </si>
  <si>
    <t xml:space="preserve">выездной кейтеринг минск</t>
  </si>
  <si>
    <t xml:space="preserve">кейтеринг за городом</t>
  </si>
  <si>
    <t xml:space="preserve">кейтеринг на природе</t>
  </si>
  <si>
    <t xml:space="preserve">барбекю кейтеринг</t>
  </si>
  <si>
    <t xml:space="preserve">кейтеринг в загородный дом</t>
  </si>
  <si>
    <t xml:space="preserve">День рождения</t>
  </si>
  <si>
    <t xml:space="preserve">кейтеринг на день рождения</t>
  </si>
  <si>
    <t xml:space="preserve">https://freshday.by/uslugi/den-rozhdeniya/</t>
  </si>
  <si>
    <t xml:space="preserve">фуршет на день рождения</t>
  </si>
  <si>
    <t xml:space="preserve">заказать еду на день рождения минск</t>
  </si>
  <si>
    <t xml:space="preserve">кейтеринг на юбилей</t>
  </si>
  <si>
    <t xml:space="preserve">фуршет на день рождения в офис</t>
  </si>
  <si>
    <t xml:space="preserve">Поиск — Бренд Fresh Day</t>
  </si>
  <si>
    <t xml:space="preserve">Бренд</t>
  </si>
  <si>
    <t xml:space="preserve">fresh day</t>
  </si>
  <si>
    <t xml:space="preserve">freshday</t>
  </si>
  <si>
    <t xml:space="preserve">фреш дэй</t>
  </si>
  <si>
    <t xml:space="preserve">фреш дей</t>
  </si>
  <si>
    <t xml:space="preserve">Headline 1</t>
  </si>
  <si>
    <t xml:space="preserve">Headline 2</t>
  </si>
  <si>
    <t xml:space="preserve">Headline 3</t>
  </si>
  <si>
    <t xml:space="preserve">Headline 4</t>
  </si>
  <si>
    <t xml:space="preserve">Headline 5</t>
  </si>
  <si>
    <t xml:space="preserve">Headline 6</t>
  </si>
  <si>
    <t xml:space="preserve">Headline 7</t>
  </si>
  <si>
    <t xml:space="preserve">Headline 8</t>
  </si>
  <si>
    <t xml:space="preserve">Headline 9</t>
  </si>
  <si>
    <t xml:space="preserve">Headline 10</t>
  </si>
  <si>
    <t xml:space="preserve">Headline 11</t>
  </si>
  <si>
    <t xml:space="preserve">Headline 12</t>
  </si>
  <si>
    <t xml:space="preserve">Headline 13</t>
  </si>
  <si>
    <t xml:space="preserve">Headline 14</t>
  </si>
  <si>
    <t xml:space="preserve">Headline 15</t>
  </si>
  <si>
    <t xml:space="preserve">Description 1</t>
  </si>
  <si>
    <t xml:space="preserve">Description 2</t>
  </si>
  <si>
    <t xml:space="preserve">Description 3</t>
  </si>
  <si>
    <t xml:space="preserve">Description 4</t>
  </si>
  <si>
    <t xml:space="preserve">Path 1</t>
  </si>
  <si>
    <t xml:space="preserve">Path 2</t>
  </si>
  <si>
    <t xml:space="preserve">Кейтеринг в Минске</t>
  </si>
  <si>
    <t xml:space="preserve">Fresh Day — кейтеринг</t>
  </si>
  <si>
    <t xml:space="preserve">Кейтеринг от 35 BYN за гостя</t>
  </si>
  <si>
    <t xml:space="preserve">Фуршеты, банкеты, кофе-брейки</t>
  </si>
  <si>
    <t xml:space="preserve">Кейтеринг под ключ</t>
  </si>
  <si>
    <t xml:space="preserve">Своя кухня в Минске</t>
  </si>
  <si>
    <t xml:space="preserve">Смета за 24 часа</t>
  </si>
  <si>
    <t xml:space="preserve">Официанты, посуда, уборка</t>
  </si>
  <si>
    <t xml:space="preserve">Работаем по договору</t>
  </si>
  <si>
    <t xml:space="preserve">Рассчитайте стоимость онлайн</t>
  </si>
  <si>
    <t xml:space="preserve">Выезд по всей Беларуси</t>
  </si>
  <si>
    <t xml:space="preserve">Меню под ваш бюджет</t>
  </si>
  <si>
    <t xml:space="preserve">Фуршеты, банкеты, свадьбы и корпоративы под ключ. Своя кухня, посуда и официанты.</t>
  </si>
  <si>
    <t xml:space="preserve">Пришлём 2–3 варианта меню и смету в течение суток. Рассчитайте цену на сайте.</t>
  </si>
  <si>
    <t xml:space="preserve">Готовим в день мероприятия, привозим и сервируем. Минск и вся Беларусь.</t>
  </si>
  <si>
    <t xml:space="preserve">Договор, безнал, акты и ЭСЧФ для компаний. Оставьте заявку — перезвоним.</t>
  </si>
  <si>
    <t xml:space="preserve">кейтеринг</t>
  </si>
  <si>
    <t xml:space="preserve">минск</t>
  </si>
  <si>
    <t xml:space="preserve">Фуршет в Минске</t>
  </si>
  <si>
    <t xml:space="preserve">Заказать фуршет от 35 BYN</t>
  </si>
  <si>
    <t xml:space="preserve">Фуршет с доставкой</t>
  </si>
  <si>
    <t xml:space="preserve">Фуршет в офис на завтра</t>
  </si>
  <si>
    <t xml:space="preserve">Канапе и тарталетки</t>
  </si>
  <si>
    <t xml:space="preserve">Меню фуршета под бюджет</t>
  </si>
  <si>
    <t xml:space="preserve">Фуршет под ключ</t>
  </si>
  <si>
    <t xml:space="preserve">Канапе, тарталетки, мини-горячее и десерты. Привезём, сервируем, уберём.</t>
  </si>
  <si>
    <t xml:space="preserve">Фуршет от 35 BYN за гостя. Меню и смета за сутки. Заказ до 14:00 — на завтра.</t>
  </si>
  <si>
    <t xml:space="preserve">Готовим на своей кухне в день мероприятия. Официанты и посуда по запросу.</t>
  </si>
  <si>
    <t xml:space="preserve">Презентации, дни рождения, открытия. Рассчитайте стоимость фуршета на сайте.</t>
  </si>
  <si>
    <t xml:space="preserve">фуршет</t>
  </si>
  <si>
    <t xml:space="preserve">Выездной банкет в Минске</t>
  </si>
  <si>
    <t xml:space="preserve">Банкет от 100 BYN за гостя</t>
  </si>
  <si>
    <t xml:space="preserve">Банкет на любой площадке</t>
  </si>
  <si>
    <t xml:space="preserve">Ресторан с выездом к вам</t>
  </si>
  <si>
    <t xml:space="preserve">Банкет с обслуживанием</t>
  </si>
  <si>
    <t xml:space="preserve">Дегустация меню</t>
  </si>
  <si>
    <t xml:space="preserve">Сервировка и декор стола</t>
  </si>
  <si>
    <t xml:space="preserve">Банкет в загородном доме, лофте или шатре. Повара, официанты и посуда — наши.</t>
  </si>
  <si>
    <t xml:space="preserve">Холодные закуски, горячее, десерт. Меню под ваш праздник и бюджет.</t>
  </si>
  <si>
    <t xml:space="preserve">Юбилеи, семейные праздники, деловые ужины. Смета с разбивкой за сутки.</t>
  </si>
  <si>
    <t xml:space="preserve">Приезжаем заранее, сервируем и ведём банкет до конца. Уборка включена.</t>
  </si>
  <si>
    <t xml:space="preserve">банкет</t>
  </si>
  <si>
    <t xml:space="preserve">Кофе-брейк в Минске</t>
  </si>
  <si>
    <t xml:space="preserve">Кофе-брейк от 40 BYN</t>
  </si>
  <si>
    <t xml:space="preserve">Кофе-брейк на конференцию</t>
  </si>
  <si>
    <t xml:space="preserve">Заказ за 24 часа</t>
  </si>
  <si>
    <t xml:space="preserve">Кофе-брейк для семинара</t>
  </si>
  <si>
    <t xml:space="preserve">Безнал, акты, ЭСЧФ</t>
  </si>
  <si>
    <t xml:space="preserve">Кофе, выпечка, сэндвичи</t>
  </si>
  <si>
    <t xml:space="preserve">Пополняем между сессиями</t>
  </si>
  <si>
    <t xml:space="preserve">Кофе, чай, свежая выпечка, сэндвичи и фрукты. Привезём за час до начала.</t>
  </si>
  <si>
    <t xml:space="preserve">Кофе-брейк от 40 BYN за участника. Договор, безнал, акты и ЭСЧФ.</t>
  </si>
  <si>
    <t xml:space="preserve">Пополняем стол между сессиями и убираем посуду. Площадка остаётся чистой.</t>
  </si>
  <si>
    <t xml:space="preserve">Welcome-кофе, классический и расширенный брейк. Меню под вашу программу.</t>
  </si>
  <si>
    <t xml:space="preserve">кофе-брейк</t>
  </si>
  <si>
    <t xml:space="preserve">Кейтеринг на свадьбу</t>
  </si>
  <si>
    <t xml:space="preserve">Свадебный банкет на выезде</t>
  </si>
  <si>
    <t xml:space="preserve">Свадьба от 150 BYN за гостя</t>
  </si>
  <si>
    <t xml:space="preserve">Дегустация свадебного меню</t>
  </si>
  <si>
    <t xml:space="preserve">Welcome-зона и банкет</t>
  </si>
  <si>
    <t xml:space="preserve">Свадьба за городом</t>
  </si>
  <si>
    <t xml:space="preserve">Сервировка в цвет свадьбы</t>
  </si>
  <si>
    <t xml:space="preserve">Welcome-фуршет, банкет, бар и сладкий стол. Вы — гости, мы — всё остальное.</t>
  </si>
  <si>
    <t xml:space="preserve">Работаем на любой площадке: усадьба, шатёр, лофт. Своя кухня и официанты.</t>
  </si>
  <si>
    <t xml:space="preserve">Дегустация, тайминг с ведущим, сервировка в цвет свадьбы. Смета за сутки.</t>
  </si>
  <si>
    <t xml:space="preserve">Бронируйте летние даты заранее. Оставьте заявку — подберём меню под бюджет.</t>
  </si>
  <si>
    <t xml:space="preserve">свадьба</t>
  </si>
  <si>
    <t xml:space="preserve">Кейтеринг на корпоратив</t>
  </si>
  <si>
    <t xml:space="preserve">Корпоратив в офисе</t>
  </si>
  <si>
    <t xml:space="preserve">Корпоратив от 70 BYN</t>
  </si>
  <si>
    <t xml:space="preserve">Новогодний корпоратив</t>
  </si>
  <si>
    <t xml:space="preserve">Еда на корпоратив</t>
  </si>
  <si>
    <t xml:space="preserve">Фуршет или банкет в офисе</t>
  </si>
  <si>
    <t xml:space="preserve">Фуршет или банкет в офисе, лофте или за городом. Накроем и уберём сами.</t>
  </si>
  <si>
    <t xml:space="preserve">Работаем по договору: безнал, акты, ЭСЧФ. Персональный менеджер.</t>
  </si>
  <si>
    <t xml:space="preserve">Новогодние корпоративы: бронируйте даты на декабрь заранее.</t>
  </si>
  <si>
    <t xml:space="preserve">Вегетарианские позиции и маркировка аллергенов. Смета за сутки.</t>
  </si>
  <si>
    <t xml:space="preserve">корпоратив</t>
  </si>
  <si>
    <t xml:space="preserve">Кейтеринг за городом</t>
  </si>
  <si>
    <t xml:space="preserve">Барбекю и гриль на месте</t>
  </si>
  <si>
    <t xml:space="preserve">От 60 BYN за гостя</t>
  </si>
  <si>
    <t xml:space="preserve">Праздник на природе</t>
  </si>
  <si>
    <t xml:space="preserve">Шатры и мобильная кухня</t>
  </si>
  <si>
    <t xml:space="preserve">Мобильная кухня, мангал, шатры и посуда. Ресторанный сервис на природе.</t>
  </si>
  <si>
    <t xml:space="preserve">Загородные дома, усадьбы, базы отдыха. Минский район и вся Беларусь.</t>
  </si>
  <si>
    <t xml:space="preserve">Повар-гриль готовит при гостях. Продумаем план Б на случай дождя.</t>
  </si>
  <si>
    <t xml:space="preserve">Выездной кейтеринг от 60 BYN за гостя. Меню и смета в течение суток.</t>
  </si>
  <si>
    <t xml:space="preserve">выездной</t>
  </si>
  <si>
    <t xml:space="preserve">Кейтеринг на день рождения</t>
  </si>
  <si>
    <t xml:space="preserve">Фуршет на день рождения</t>
  </si>
  <si>
    <t xml:space="preserve">От 45 BYN за гостя</t>
  </si>
  <si>
    <t xml:space="preserve">Юбилей с кейтерингом</t>
  </si>
  <si>
    <t xml:space="preserve">Праздник дома или в офисе</t>
  </si>
  <si>
    <t xml:space="preserve">Детское меню</t>
  </si>
  <si>
    <t xml:space="preserve">Торт и сладкий стол</t>
  </si>
  <si>
    <t xml:space="preserve">Фуршет или банкет на день рождения. Вы празднуете — мы накрываем и убираем.</t>
  </si>
  <si>
    <t xml:space="preserve">Дома, в офисе или за городом. Меню под гостей: вегетарианское, детское.</t>
  </si>
  <si>
    <t xml:space="preserve">Фуршет от 45 BYN за гостя. Пришлём меню и смету в течение суток.</t>
  </si>
  <si>
    <t xml:space="preserve">Закажем торт у кондитеров или подадим ваш. Оставьте заявку на сайте.</t>
  </si>
  <si>
    <t xml:space="preserve">день-рождения</t>
  </si>
  <si>
    <t xml:space="preserve">Fresh Day Минск</t>
  </si>
  <si>
    <t xml:space="preserve">Официальный сайт Fresh Day</t>
  </si>
  <si>
    <t xml:space="preserve">Фуршеты и банкеты</t>
  </si>
  <si>
    <t xml:space="preserve">Кейтеринг в Минске: фуршеты, банкеты, свадьбы, корпоративы и кофе-брейки.</t>
  </si>
  <si>
    <t xml:space="preserve">Рассчитайте стоимость на сайте или оставьте заявку — ответим в течение суток.</t>
  </si>
  <si>
    <t xml:space="preserve">fresh-day</t>
  </si>
  <si>
    <t xml:space="preserve">Группа</t>
  </si>
  <si>
    <t xml:space="preserve">Тип</t>
  </si>
  <si>
    <t xml:space="preserve">Текст</t>
  </si>
  <si>
    <t xml:space="preserve">Символов</t>
  </si>
  <si>
    <t xml:space="preserve">Лимит</t>
  </si>
  <si>
    <t xml:space="preserve">Проверка</t>
  </si>
  <si>
    <t xml:space="preserve">Заголовок</t>
  </si>
  <si>
    <t xml:space="preserve">Описание</t>
  </si>
  <si>
    <t xml:space="preserve">Группа минус-слов</t>
  </si>
  <si>
    <t xml:space="preserve">вакансия</t>
  </si>
  <si>
    <t xml:space="preserve">Negative Phrase</t>
  </si>
  <si>
    <t xml:space="preserve">Работа и обучение</t>
  </si>
  <si>
    <t xml:space="preserve">вакансии</t>
  </si>
  <si>
    <t xml:space="preserve">работа</t>
  </si>
  <si>
    <t xml:space="preserve">требуется</t>
  </si>
  <si>
    <t xml:space="preserve">официант работа</t>
  </si>
  <si>
    <t xml:space="preserve">повар работа</t>
  </si>
  <si>
    <t xml:space="preserve">зарплата</t>
  </si>
  <si>
    <t xml:space="preserve">курсы</t>
  </si>
  <si>
    <t xml:space="preserve">обучение</t>
  </si>
  <si>
    <t xml:space="preserve">стажировка</t>
  </si>
  <si>
    <t xml:space="preserve">что такое</t>
  </si>
  <si>
    <t xml:space="preserve">Информационные</t>
  </si>
  <si>
    <t xml:space="preserve">википедия</t>
  </si>
  <si>
    <t xml:space="preserve">реферат</t>
  </si>
  <si>
    <t xml:space="preserve">определение</t>
  </si>
  <si>
    <t xml:space="preserve">перевод</t>
  </si>
  <si>
    <t xml:space="preserve">синоним</t>
  </si>
  <si>
    <t xml:space="preserve">рецепт</t>
  </si>
  <si>
    <t xml:space="preserve">Сделай сам</t>
  </si>
  <si>
    <t xml:space="preserve">рецепты</t>
  </si>
  <si>
    <t xml:space="preserve">своими руками</t>
  </si>
  <si>
    <t xml:space="preserve">как приготовить</t>
  </si>
  <si>
    <t xml:space="preserve">идеи</t>
  </si>
  <si>
    <t xml:space="preserve">фото идеи</t>
  </si>
  <si>
    <t xml:space="preserve">дома самим</t>
  </si>
  <si>
    <t xml:space="preserve">оборудование</t>
  </si>
  <si>
    <t xml:space="preserve">Не наш бизнес</t>
  </si>
  <si>
    <t xml:space="preserve">посуда купить</t>
  </si>
  <si>
    <t xml:space="preserve">бизнес план</t>
  </si>
  <si>
    <t xml:space="preserve">франшиза</t>
  </si>
  <si>
    <t xml:space="preserve">открыть</t>
  </si>
  <si>
    <t xml:space="preserve">как открыть</t>
  </si>
  <si>
    <t xml:space="preserve">лицензия</t>
  </si>
  <si>
    <t xml:space="preserve">санпин</t>
  </si>
  <si>
    <t xml:space="preserve">оптом</t>
  </si>
  <si>
    <t xml:space="preserve">авито</t>
  </si>
  <si>
    <t xml:space="preserve">куфар</t>
  </si>
  <si>
    <t xml:space="preserve">бесплатно</t>
  </si>
  <si>
    <t xml:space="preserve">Бесплатное и прочее</t>
  </si>
  <si>
    <t xml:space="preserve">скачать</t>
  </si>
  <si>
    <t xml:space="preserve">отзывы сотрудников</t>
  </si>
  <si>
    <t xml:space="preserve">вконтакте</t>
  </si>
  <si>
    <t xml:space="preserve">шаблон</t>
  </si>
  <si>
    <t xml:space="preserve">москва</t>
  </si>
  <si>
    <t xml:space="preserve">Другие города</t>
  </si>
  <si>
    <t xml:space="preserve">спб</t>
  </si>
  <si>
    <t xml:space="preserve">санкт петербург</t>
  </si>
  <si>
    <t xml:space="preserve">гомель</t>
  </si>
  <si>
    <t xml:space="preserve">брест</t>
  </si>
  <si>
    <t xml:space="preserve">гродно</t>
  </si>
  <si>
    <t xml:space="preserve">витебск</t>
  </si>
  <si>
    <t xml:space="preserve">могилев</t>
  </si>
  <si>
    <t xml:space="preserve">вильнюс</t>
  </si>
  <si>
    <t xml:space="preserve">варшава</t>
  </si>
  <si>
    <t xml:space="preserve">Дополняйте список из отчёта «Поисковые запросы» каждую неделю.</t>
  </si>
  <si>
    <t xml:space="preserve">Быстрые ссылки (Sitelinks)</t>
  </si>
  <si>
    <t xml:space="preserve">Текст ссылки (≤25)</t>
  </si>
  <si>
    <t xml:space="preserve">Строка описания 1 (≤35)</t>
  </si>
  <si>
    <t xml:space="preserve">Строка описания 2 (≤35)</t>
  </si>
  <si>
    <t xml:space="preserve">От 35 BYN за гостя</t>
  </si>
  <si>
    <t xml:space="preserve">Канапе, тарталетки, десерты</t>
  </si>
  <si>
    <t xml:space="preserve">От 100 BYN за гостя</t>
  </si>
  <si>
    <t xml:space="preserve">На любой площадке</t>
  </si>
  <si>
    <t xml:space="preserve">От 40 BYN за участника</t>
  </si>
  <si>
    <t xml:space="preserve">В офисе или за городом</t>
  </si>
  <si>
    <t xml:space="preserve">Договор, безнал, ЭСЧФ</t>
  </si>
  <si>
    <t xml:space="preserve">Рассчитать стоимость</t>
  </si>
  <si>
    <t xml:space="preserve">Онлайн-калькулятор</t>
  </si>
  <si>
    <t xml:space="preserve">Цена за пару минут</t>
  </si>
  <si>
    <t xml:space="preserve">https://freshday.by/#calculator</t>
  </si>
  <si>
    <t xml:space="preserve">Фото мероприятий</t>
  </si>
  <si>
    <t xml:space="preserve">Наши фуршеты и банкеты</t>
  </si>
  <si>
    <t xml:space="preserve">Реальные фото, без стоков</t>
  </si>
  <si>
    <t xml:space="preserve">https://freshday.by/galereya/</t>
  </si>
  <si>
    <t xml:space="preserve">Контакты</t>
  </si>
  <si>
    <t xml:space="preserve">Телефон, Telegram, Viber</t>
  </si>
  <si>
    <t xml:space="preserve">Ежедневно 9:00–21:00</t>
  </si>
  <si>
    <t xml:space="preserve">https://freshday.by/kontakty/</t>
  </si>
  <si>
    <t xml:space="preserve">Уточнения (Callouts, ≤25)</t>
  </si>
  <si>
    <t xml:space="preserve">Своя кухня</t>
  </si>
  <si>
    <t xml:space="preserve">Безнал и ЭСЧФ</t>
  </si>
  <si>
    <t xml:space="preserve">Официанты и посуда</t>
  </si>
  <si>
    <t xml:space="preserve">Выезд по Беларуси</t>
  </si>
  <si>
    <t xml:space="preserve">Уборка после праздника</t>
  </si>
  <si>
    <t xml:space="preserve">Структурированные описания (Structured snippets)</t>
  </si>
  <si>
    <t xml:space="preserve">Заголовок: Услуги</t>
  </si>
  <si>
    <t xml:space="preserve">Звонок (Call)</t>
  </si>
  <si>
    <t xml:space="preserve">Номер телефона</t>
  </si>
  <si>
    <t xml:space="preserve">+375 29 000-00-00</t>
  </si>
  <si>
    <t xml:space="preserve">Расписание показа</t>
  </si>
  <si>
    <t xml:space="preserve">Конверсия</t>
  </si>
  <si>
    <t xml:space="preserve">Звонок дольше 60 секунд</t>
  </si>
  <si>
    <t xml:space="preserve">Прогноз бюджета и заявок</t>
  </si>
  <si>
    <t xml:space="preserve">Жёлтые ячейки — допущения. Замените их реальными данными из Планировщика ключевых слов и через 2–3 недели — фактическими цифрами из кабинета.</t>
  </si>
  <si>
    <t xml:space="preserve">Дневной бюджет, BYN</t>
  </si>
  <si>
    <t xml:space="preserve">Сумма, которую готовы тратить в день</t>
  </si>
  <si>
    <t xml:space="preserve">Дней в месяце</t>
  </si>
  <si>
    <t xml:space="preserve">Средняя цена клика, BYN</t>
  </si>
  <si>
    <t xml:space="preserve">Допущение. Точную цену покажет Планировщик ключевых слов в Google Ads</t>
  </si>
  <si>
    <t xml:space="preserve">Конверсия сайта в заявку</t>
  </si>
  <si>
    <t xml:space="preserve">Допущение: осторожные 3%; у хорошей страницы услуги бывает 3–7%</t>
  </si>
  <si>
    <t xml:space="preserve">Доля заявок, ставших заказом</t>
  </si>
  <si>
    <t xml:space="preserve">Допущение: ваша реальная доля по опыту</t>
  </si>
  <si>
    <t xml:space="preserve">Средний чек заказа, BYN</t>
  </si>
  <si>
    <t xml:space="preserve">Допущение: например, фуршет на 40 гостей</t>
  </si>
  <si>
    <t xml:space="preserve">Результат</t>
  </si>
  <si>
    <t xml:space="preserve">Расход в месяц, BYN</t>
  </si>
  <si>
    <t xml:space="preserve">Кликов в месяц</t>
  </si>
  <si>
    <t xml:space="preserve">Заявок в месяц</t>
  </si>
  <si>
    <t xml:space="preserve">Цена заявки, BYN</t>
  </si>
  <si>
    <t xml:space="preserve">Заказов в месяц</t>
  </si>
  <si>
    <t xml:space="preserve">Цена заказа, BYN</t>
  </si>
  <si>
    <t xml:space="preserve">Выручка с рекламы, BYN</t>
  </si>
  <si>
    <t xml:space="preserve">Выручка на 1 BYN рекламы</t>
  </si>
  <si>
    <t xml:space="preserve">Если больше вашей маржи на заказ в обратном пересчёте — реклама окупается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</si>
</sst>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0.0%"/>
    <numFmt numFmtId="168" formatCode="#,##0"/>
    <numFmt numFmtId="169" formatCode="#,##0.0"/>
    <numFmt numFmtId="170" formatCode="#,##0.0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22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9A3412"/>
      <name val="Arial"/>
      <family val="0"/>
      <charset val="1"/>
    </font>
    <font>
      <b val="true"/>
      <sz val="12"/>
      <color rgb="FF1B3A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A8"/>
        <bgColor rgb="FFFFFFCC"/>
      </patternFill>
    </fill>
    <fill>
      <patternFill patternType="solid">
        <fgColor rgb="FFF8C9C4"/>
        <bgColor rgb="FFD0D7D2"/>
      </patternFill>
    </fill>
    <fill>
      <patternFill patternType="solid">
        <fgColor rgb="FF1B3A2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2"/>
      </left>
      <right style="thin">
        <color rgb="FFD0D7D2"/>
      </right>
      <top style="thin">
        <color rgb="FFD0D7D2"/>
      </top>
      <bottom style="thin">
        <color rgb="FFD0D7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3A2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C9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8C9C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A3412"/>
      <rgbColor rgb="FF993366"/>
      <rgbColor rgb="FF333399"/>
      <rgbColor rgb="FF1B3A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4"/>
      <c r="B3" s="2"/>
    </row>
    <row r="4" customFormat="false" ht="15" hidden="false" customHeight="false" outlineLevel="0" collapsed="false">
      <c r="A4" s="5" t="s">
        <v>2</v>
      </c>
      <c r="B4" s="2"/>
    </row>
    <row r="5" customFormat="false" ht="15" hidden="false" customHeight="false" outlineLevel="0" collapsed="false">
      <c r="A5" s="4" t="s">
        <v>3</v>
      </c>
      <c r="B5" s="2" t="s">
        <v>4</v>
      </c>
    </row>
    <row r="6" customFormat="false" ht="15" hidden="false" customHeight="false" outlineLevel="0" collapsed="false">
      <c r="A6" s="4" t="s">
        <v>5</v>
      </c>
      <c r="B6" s="2" t="s">
        <v>6</v>
      </c>
    </row>
    <row r="7" customFormat="false" ht="23.85" hidden="false" customHeight="false" outlineLevel="0" collapsed="false">
      <c r="A7" s="4" t="s">
        <v>7</v>
      </c>
      <c r="B7" s="2" t="s">
        <v>8</v>
      </c>
    </row>
    <row r="8" customFormat="false" ht="15" hidden="false" customHeight="false" outlineLevel="0" collapsed="false">
      <c r="A8" s="4" t="s">
        <v>9</v>
      </c>
      <c r="B8" s="2" t="s">
        <v>10</v>
      </c>
    </row>
    <row r="9" customFormat="false" ht="23.85" hidden="false" customHeight="false" outlineLevel="0" collapsed="false">
      <c r="A9" s="4" t="s">
        <v>11</v>
      </c>
      <c r="B9" s="2" t="s">
        <v>12</v>
      </c>
    </row>
    <row r="10" customFormat="false" ht="15" hidden="false" customHeight="false" outlineLevel="0" collapsed="false">
      <c r="A10" s="4" t="s">
        <v>13</v>
      </c>
      <c r="B10" s="2" t="s">
        <v>14</v>
      </c>
    </row>
    <row r="11" customFormat="false" ht="15" hidden="false" customHeight="false" outlineLevel="0" collapsed="false">
      <c r="A11" s="4" t="s">
        <v>15</v>
      </c>
      <c r="B11" s="2" t="s">
        <v>16</v>
      </c>
    </row>
    <row r="12" customFormat="false" ht="23.85" hidden="false" customHeight="false" outlineLevel="0" collapsed="false">
      <c r="A12" s="4" t="s">
        <v>17</v>
      </c>
      <c r="B12" s="2" t="s">
        <v>18</v>
      </c>
    </row>
    <row r="13" customFormat="false" ht="15" hidden="false" customHeight="false" outlineLevel="0" collapsed="false">
      <c r="A13" s="4"/>
      <c r="B13" s="2"/>
    </row>
    <row r="14" customFormat="false" ht="15" hidden="false" customHeight="false" outlineLevel="0" collapsed="false">
      <c r="A14" s="5" t="s">
        <v>19</v>
      </c>
      <c r="B14" s="2"/>
    </row>
    <row r="15" customFormat="false" ht="15" hidden="false" customHeight="false" outlineLevel="0" collapsed="false">
      <c r="A15" s="4" t="s">
        <v>20</v>
      </c>
      <c r="B15" s="2" t="s">
        <v>21</v>
      </c>
    </row>
    <row r="16" customFormat="false" ht="15" hidden="false" customHeight="false" outlineLevel="0" collapsed="false">
      <c r="A16" s="4" t="s">
        <v>22</v>
      </c>
      <c r="B16" s="2" t="s">
        <v>23</v>
      </c>
    </row>
    <row r="17" customFormat="false" ht="23.85" hidden="false" customHeight="false" outlineLevel="0" collapsed="false">
      <c r="A17" s="4" t="s">
        <v>24</v>
      </c>
      <c r="B17" s="2" t="s">
        <v>25</v>
      </c>
    </row>
    <row r="18" customFormat="false" ht="15" hidden="false" customHeight="false" outlineLevel="0" collapsed="false">
      <c r="A18" s="4" t="s">
        <v>26</v>
      </c>
      <c r="B18" s="2" t="s">
        <v>27</v>
      </c>
    </row>
    <row r="19" customFormat="false" ht="23.85" hidden="false" customHeight="false" outlineLevel="0" collapsed="false">
      <c r="A19" s="4" t="s">
        <v>28</v>
      </c>
      <c r="B19" s="2" t="s">
        <v>29</v>
      </c>
    </row>
    <row r="20" customFormat="false" ht="15" hidden="false" customHeight="false" outlineLevel="0" collapsed="false">
      <c r="A20" s="4" t="s">
        <v>30</v>
      </c>
      <c r="B20" s="2" t="s">
        <v>31</v>
      </c>
    </row>
    <row r="21" customFormat="false" ht="15" hidden="false" customHeight="false" outlineLevel="0" collapsed="false">
      <c r="A21" s="4"/>
      <c r="B21" s="2"/>
    </row>
    <row r="22" customFormat="false" ht="15" hidden="false" customHeight="false" outlineLevel="0" collapsed="false">
      <c r="A22" s="5" t="s">
        <v>32</v>
      </c>
      <c r="B22" s="2"/>
    </row>
    <row r="23" customFormat="false" ht="15" hidden="false" customHeight="false" outlineLevel="0" collapsed="false">
      <c r="A23" s="4" t="s">
        <v>33</v>
      </c>
      <c r="B23" s="2" t="s">
        <v>34</v>
      </c>
    </row>
    <row r="24" customFormat="false" ht="15" hidden="false" customHeight="false" outlineLevel="0" collapsed="false">
      <c r="A24" s="4" t="s">
        <v>35</v>
      </c>
      <c r="B24" s="2" t="s">
        <v>36</v>
      </c>
    </row>
    <row r="25" customFormat="false" ht="15" hidden="false" customHeight="false" outlineLevel="0" collapsed="false">
      <c r="A25" s="4" t="s">
        <v>37</v>
      </c>
      <c r="B25" s="2" t="s">
        <v>38</v>
      </c>
    </row>
    <row r="26" customFormat="false" ht="15" hidden="false" customHeight="false" outlineLevel="0" collapsed="false">
      <c r="A26" s="4"/>
      <c r="B26" s="2"/>
    </row>
    <row r="27" customFormat="false" ht="15" hidden="false" customHeight="false" outlineLevel="0" collapsed="false">
      <c r="A27" s="5" t="s">
        <v>39</v>
      </c>
      <c r="B27" s="2"/>
    </row>
    <row r="28" customFormat="false" ht="15" hidden="false" customHeight="false" outlineLevel="0" collapsed="false">
      <c r="A28" s="6" t="s">
        <v>40</v>
      </c>
      <c r="B28" s="2" t="s">
        <v>41</v>
      </c>
    </row>
    <row r="29" customFormat="false" ht="15" hidden="false" customHeight="false" outlineLevel="0" collapsed="false">
      <c r="A29" s="7" t="s">
        <v>42</v>
      </c>
      <c r="B29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5"/>
    <col collapsed="false" customWidth="true" hidden="false" outlineLevel="0" max="5" min="5" style="0" width="46"/>
    <col collapsed="false" customWidth="true" hidden="false" outlineLevel="0" max="6" min="6" style="0" width="22"/>
  </cols>
  <sheetData>
    <row r="1" customFormat="false" ht="26.8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</row>
    <row r="2" customFormat="false" ht="15" hidden="false" customHeight="false" outlineLevel="0" collapsed="false">
      <c r="A2" s="9" t="s">
        <v>50</v>
      </c>
      <c r="B2" s="9" t="s">
        <v>51</v>
      </c>
      <c r="C2" s="9" t="s">
        <v>52</v>
      </c>
      <c r="D2" s="9" t="s">
        <v>53</v>
      </c>
      <c r="E2" s="9" t="s">
        <v>54</v>
      </c>
      <c r="F2" s="9" t="s">
        <v>55</v>
      </c>
    </row>
    <row r="3" customFormat="false" ht="15" hidden="false" customHeight="false" outlineLevel="0" collapsed="false">
      <c r="A3" s="9" t="s">
        <v>50</v>
      </c>
      <c r="B3" s="9" t="s">
        <v>51</v>
      </c>
      <c r="C3" s="9" t="s">
        <v>52</v>
      </c>
      <c r="D3" s="9" t="s">
        <v>56</v>
      </c>
      <c r="E3" s="9" t="s">
        <v>54</v>
      </c>
      <c r="F3" s="9" t="s">
        <v>57</v>
      </c>
    </row>
    <row r="4" customFormat="false" ht="15" hidden="false" customHeight="false" outlineLevel="0" collapsed="false">
      <c r="A4" s="9" t="s">
        <v>50</v>
      </c>
      <c r="B4" s="9" t="s">
        <v>51</v>
      </c>
      <c r="C4" s="9" t="s">
        <v>58</v>
      </c>
      <c r="D4" s="9" t="s">
        <v>56</v>
      </c>
      <c r="E4" s="9" t="s">
        <v>54</v>
      </c>
      <c r="F4" s="9" t="s">
        <v>57</v>
      </c>
    </row>
    <row r="5" customFormat="false" ht="15" hidden="false" customHeight="false" outlineLevel="0" collapsed="false">
      <c r="A5" s="9" t="s">
        <v>50</v>
      </c>
      <c r="B5" s="9" t="s">
        <v>51</v>
      </c>
      <c r="C5" s="9" t="s">
        <v>59</v>
      </c>
      <c r="D5" s="9" t="s">
        <v>56</v>
      </c>
      <c r="E5" s="9" t="s">
        <v>54</v>
      </c>
      <c r="F5" s="9" t="s">
        <v>57</v>
      </c>
    </row>
    <row r="6" customFormat="false" ht="15" hidden="false" customHeight="false" outlineLevel="0" collapsed="false">
      <c r="A6" s="9" t="s">
        <v>50</v>
      </c>
      <c r="B6" s="9" t="s">
        <v>51</v>
      </c>
      <c r="C6" s="9" t="s">
        <v>60</v>
      </c>
      <c r="D6" s="9" t="s">
        <v>56</v>
      </c>
      <c r="E6" s="9" t="s">
        <v>54</v>
      </c>
      <c r="F6" s="9" t="s">
        <v>57</v>
      </c>
    </row>
    <row r="7" customFormat="false" ht="15" hidden="false" customHeight="false" outlineLevel="0" collapsed="false">
      <c r="A7" s="9" t="s">
        <v>50</v>
      </c>
      <c r="B7" s="9" t="s">
        <v>51</v>
      </c>
      <c r="C7" s="9" t="s">
        <v>61</v>
      </c>
      <c r="D7" s="9" t="s">
        <v>56</v>
      </c>
      <c r="E7" s="9" t="s">
        <v>54</v>
      </c>
      <c r="F7" s="9" t="s">
        <v>57</v>
      </c>
    </row>
    <row r="8" customFormat="false" ht="15" hidden="false" customHeight="false" outlineLevel="0" collapsed="false">
      <c r="A8" s="9" t="s">
        <v>50</v>
      </c>
      <c r="B8" s="9" t="s">
        <v>51</v>
      </c>
      <c r="C8" s="9" t="s">
        <v>62</v>
      </c>
      <c r="D8" s="9" t="s">
        <v>56</v>
      </c>
      <c r="E8" s="9" t="s">
        <v>54</v>
      </c>
      <c r="F8" s="9" t="s">
        <v>57</v>
      </c>
    </row>
    <row r="9" customFormat="false" ht="15" hidden="false" customHeight="false" outlineLevel="0" collapsed="false">
      <c r="A9" s="9" t="s">
        <v>50</v>
      </c>
      <c r="B9" s="9" t="s">
        <v>51</v>
      </c>
      <c r="C9" s="9" t="s">
        <v>63</v>
      </c>
      <c r="D9" s="9" t="s">
        <v>56</v>
      </c>
      <c r="E9" s="9" t="s">
        <v>54</v>
      </c>
      <c r="F9" s="9" t="s">
        <v>57</v>
      </c>
    </row>
    <row r="10" customFormat="false" ht="15" hidden="false" customHeight="false" outlineLevel="0" collapsed="false">
      <c r="A10" s="9" t="s">
        <v>50</v>
      </c>
      <c r="B10" s="9" t="s">
        <v>51</v>
      </c>
      <c r="C10" s="9" t="s">
        <v>64</v>
      </c>
      <c r="D10" s="9" t="s">
        <v>56</v>
      </c>
      <c r="E10" s="9" t="s">
        <v>54</v>
      </c>
      <c r="F10" s="9" t="s">
        <v>57</v>
      </c>
    </row>
    <row r="11" customFormat="false" ht="15" hidden="false" customHeight="false" outlineLevel="0" collapsed="false">
      <c r="A11" s="9" t="s">
        <v>50</v>
      </c>
      <c r="B11" s="9" t="s">
        <v>51</v>
      </c>
      <c r="C11" s="9" t="s">
        <v>65</v>
      </c>
      <c r="D11" s="9" t="s">
        <v>56</v>
      </c>
      <c r="E11" s="9" t="s">
        <v>54</v>
      </c>
      <c r="F11" s="9" t="s">
        <v>57</v>
      </c>
    </row>
    <row r="12" customFormat="false" ht="15" hidden="false" customHeight="false" outlineLevel="0" collapsed="false">
      <c r="A12" s="9" t="s">
        <v>50</v>
      </c>
      <c r="B12" s="9" t="s">
        <v>66</v>
      </c>
      <c r="C12" s="9" t="s">
        <v>67</v>
      </c>
      <c r="D12" s="9" t="s">
        <v>53</v>
      </c>
      <c r="E12" s="9" t="s">
        <v>68</v>
      </c>
      <c r="F12" s="9" t="s">
        <v>55</v>
      </c>
    </row>
    <row r="13" customFormat="false" ht="15" hidden="false" customHeight="false" outlineLevel="0" collapsed="false">
      <c r="A13" s="9" t="s">
        <v>50</v>
      </c>
      <c r="B13" s="9" t="s">
        <v>66</v>
      </c>
      <c r="C13" s="9" t="s">
        <v>69</v>
      </c>
      <c r="D13" s="9" t="s">
        <v>56</v>
      </c>
      <c r="E13" s="9" t="s">
        <v>68</v>
      </c>
      <c r="F13" s="9" t="s">
        <v>57</v>
      </c>
    </row>
    <row r="14" customFormat="false" ht="15" hidden="false" customHeight="false" outlineLevel="0" collapsed="false">
      <c r="A14" s="9" t="s">
        <v>50</v>
      </c>
      <c r="B14" s="9" t="s">
        <v>66</v>
      </c>
      <c r="C14" s="9" t="s">
        <v>70</v>
      </c>
      <c r="D14" s="9" t="s">
        <v>56</v>
      </c>
      <c r="E14" s="9" t="s">
        <v>68</v>
      </c>
      <c r="F14" s="9" t="s">
        <v>57</v>
      </c>
    </row>
    <row r="15" customFormat="false" ht="15" hidden="false" customHeight="false" outlineLevel="0" collapsed="false">
      <c r="A15" s="9" t="s">
        <v>50</v>
      </c>
      <c r="B15" s="9" t="s">
        <v>66</v>
      </c>
      <c r="C15" s="9" t="s">
        <v>71</v>
      </c>
      <c r="D15" s="9" t="s">
        <v>56</v>
      </c>
      <c r="E15" s="9" t="s">
        <v>68</v>
      </c>
      <c r="F15" s="9" t="s">
        <v>57</v>
      </c>
    </row>
    <row r="16" customFormat="false" ht="15" hidden="false" customHeight="false" outlineLevel="0" collapsed="false">
      <c r="A16" s="9" t="s">
        <v>50</v>
      </c>
      <c r="B16" s="9" t="s">
        <v>66</v>
      </c>
      <c r="C16" s="9" t="s">
        <v>72</v>
      </c>
      <c r="D16" s="9" t="s">
        <v>56</v>
      </c>
      <c r="E16" s="9" t="s">
        <v>68</v>
      </c>
      <c r="F16" s="9" t="s">
        <v>57</v>
      </c>
    </row>
    <row r="17" customFormat="false" ht="15" hidden="false" customHeight="false" outlineLevel="0" collapsed="false">
      <c r="A17" s="9" t="s">
        <v>50</v>
      </c>
      <c r="B17" s="9" t="s">
        <v>66</v>
      </c>
      <c r="C17" s="9" t="s">
        <v>73</v>
      </c>
      <c r="D17" s="9" t="s">
        <v>56</v>
      </c>
      <c r="E17" s="9" t="s">
        <v>68</v>
      </c>
      <c r="F17" s="9" t="s">
        <v>57</v>
      </c>
    </row>
    <row r="18" customFormat="false" ht="15" hidden="false" customHeight="false" outlineLevel="0" collapsed="false">
      <c r="A18" s="9" t="s">
        <v>50</v>
      </c>
      <c r="B18" s="9" t="s">
        <v>66</v>
      </c>
      <c r="C18" s="9" t="s">
        <v>74</v>
      </c>
      <c r="D18" s="9" t="s">
        <v>56</v>
      </c>
      <c r="E18" s="9" t="s">
        <v>68</v>
      </c>
      <c r="F18" s="9" t="s">
        <v>57</v>
      </c>
    </row>
    <row r="19" customFormat="false" ht="15" hidden="false" customHeight="false" outlineLevel="0" collapsed="false">
      <c r="A19" s="9" t="s">
        <v>50</v>
      </c>
      <c r="B19" s="9" t="s">
        <v>66</v>
      </c>
      <c r="C19" s="9" t="s">
        <v>75</v>
      </c>
      <c r="D19" s="9" t="s">
        <v>56</v>
      </c>
      <c r="E19" s="9" t="s">
        <v>68</v>
      </c>
      <c r="F19" s="9" t="s">
        <v>57</v>
      </c>
    </row>
    <row r="20" customFormat="false" ht="15" hidden="false" customHeight="false" outlineLevel="0" collapsed="false">
      <c r="A20" s="9" t="s">
        <v>50</v>
      </c>
      <c r="B20" s="9" t="s">
        <v>76</v>
      </c>
      <c r="C20" s="9" t="s">
        <v>77</v>
      </c>
      <c r="D20" s="9" t="s">
        <v>56</v>
      </c>
      <c r="E20" s="9" t="s">
        <v>78</v>
      </c>
      <c r="F20" s="9" t="s">
        <v>57</v>
      </c>
    </row>
    <row r="21" customFormat="false" ht="15" hidden="false" customHeight="false" outlineLevel="0" collapsed="false">
      <c r="A21" s="9" t="s">
        <v>50</v>
      </c>
      <c r="B21" s="9" t="s">
        <v>76</v>
      </c>
      <c r="C21" s="9" t="s">
        <v>79</v>
      </c>
      <c r="D21" s="9" t="s">
        <v>56</v>
      </c>
      <c r="E21" s="9" t="s">
        <v>78</v>
      </c>
      <c r="F21" s="9" t="s">
        <v>57</v>
      </c>
    </row>
    <row r="22" customFormat="false" ht="15" hidden="false" customHeight="false" outlineLevel="0" collapsed="false">
      <c r="A22" s="9" t="s">
        <v>50</v>
      </c>
      <c r="B22" s="9" t="s">
        <v>76</v>
      </c>
      <c r="C22" s="9" t="s">
        <v>80</v>
      </c>
      <c r="D22" s="9" t="s">
        <v>56</v>
      </c>
      <c r="E22" s="9" t="s">
        <v>78</v>
      </c>
      <c r="F22" s="9" t="s">
        <v>57</v>
      </c>
    </row>
    <row r="23" customFormat="false" ht="15" hidden="false" customHeight="false" outlineLevel="0" collapsed="false">
      <c r="A23" s="9" t="s">
        <v>50</v>
      </c>
      <c r="B23" s="9" t="s">
        <v>76</v>
      </c>
      <c r="C23" s="9" t="s">
        <v>81</v>
      </c>
      <c r="D23" s="9" t="s">
        <v>56</v>
      </c>
      <c r="E23" s="9" t="s">
        <v>78</v>
      </c>
      <c r="F23" s="9" t="s">
        <v>57</v>
      </c>
    </row>
    <row r="24" customFormat="false" ht="15" hidden="false" customHeight="false" outlineLevel="0" collapsed="false">
      <c r="A24" s="9" t="s">
        <v>50</v>
      </c>
      <c r="B24" s="9" t="s">
        <v>76</v>
      </c>
      <c r="C24" s="9" t="s">
        <v>82</v>
      </c>
      <c r="D24" s="9" t="s">
        <v>56</v>
      </c>
      <c r="E24" s="9" t="s">
        <v>78</v>
      </c>
      <c r="F24" s="9" t="s">
        <v>57</v>
      </c>
    </row>
    <row r="25" customFormat="false" ht="15" hidden="false" customHeight="false" outlineLevel="0" collapsed="false">
      <c r="A25" s="9" t="s">
        <v>50</v>
      </c>
      <c r="B25" s="9" t="s">
        <v>76</v>
      </c>
      <c r="C25" s="9" t="s">
        <v>83</v>
      </c>
      <c r="D25" s="9" t="s">
        <v>56</v>
      </c>
      <c r="E25" s="9" t="s">
        <v>78</v>
      </c>
      <c r="F25" s="9" t="s">
        <v>57</v>
      </c>
    </row>
    <row r="26" customFormat="false" ht="15" hidden="false" customHeight="false" outlineLevel="0" collapsed="false">
      <c r="A26" s="9" t="s">
        <v>50</v>
      </c>
      <c r="B26" s="9" t="s">
        <v>76</v>
      </c>
      <c r="C26" s="9" t="s">
        <v>84</v>
      </c>
      <c r="D26" s="9" t="s">
        <v>56</v>
      </c>
      <c r="E26" s="9" t="s">
        <v>78</v>
      </c>
      <c r="F26" s="9" t="s">
        <v>57</v>
      </c>
    </row>
    <row r="27" customFormat="false" ht="15" hidden="false" customHeight="false" outlineLevel="0" collapsed="false">
      <c r="A27" s="9" t="s">
        <v>50</v>
      </c>
      <c r="B27" s="9" t="s">
        <v>85</v>
      </c>
      <c r="C27" s="9" t="s">
        <v>86</v>
      </c>
      <c r="D27" s="9" t="s">
        <v>53</v>
      </c>
      <c r="E27" s="9" t="s">
        <v>87</v>
      </c>
      <c r="F27" s="9" t="s">
        <v>55</v>
      </c>
    </row>
    <row r="28" customFormat="false" ht="15" hidden="false" customHeight="false" outlineLevel="0" collapsed="false">
      <c r="A28" s="9" t="s">
        <v>50</v>
      </c>
      <c r="B28" s="9" t="s">
        <v>85</v>
      </c>
      <c r="C28" s="9" t="s">
        <v>88</v>
      </c>
      <c r="D28" s="9" t="s">
        <v>56</v>
      </c>
      <c r="E28" s="9" t="s">
        <v>87</v>
      </c>
      <c r="F28" s="9" t="s">
        <v>57</v>
      </c>
    </row>
    <row r="29" customFormat="false" ht="15" hidden="false" customHeight="false" outlineLevel="0" collapsed="false">
      <c r="A29" s="9" t="s">
        <v>50</v>
      </c>
      <c r="B29" s="9" t="s">
        <v>85</v>
      </c>
      <c r="C29" s="9" t="s">
        <v>89</v>
      </c>
      <c r="D29" s="9" t="s">
        <v>56</v>
      </c>
      <c r="E29" s="9" t="s">
        <v>87</v>
      </c>
      <c r="F29" s="9" t="s">
        <v>57</v>
      </c>
    </row>
    <row r="30" customFormat="false" ht="15" hidden="false" customHeight="false" outlineLevel="0" collapsed="false">
      <c r="A30" s="9" t="s">
        <v>50</v>
      </c>
      <c r="B30" s="9" t="s">
        <v>85</v>
      </c>
      <c r="C30" s="9" t="s">
        <v>90</v>
      </c>
      <c r="D30" s="9" t="s">
        <v>56</v>
      </c>
      <c r="E30" s="9" t="s">
        <v>87</v>
      </c>
      <c r="F30" s="9" t="s">
        <v>57</v>
      </c>
    </row>
    <row r="31" customFormat="false" ht="15" hidden="false" customHeight="false" outlineLevel="0" collapsed="false">
      <c r="A31" s="9" t="s">
        <v>50</v>
      </c>
      <c r="B31" s="9" t="s">
        <v>85</v>
      </c>
      <c r="C31" s="9" t="s">
        <v>91</v>
      </c>
      <c r="D31" s="9" t="s">
        <v>56</v>
      </c>
      <c r="E31" s="9" t="s">
        <v>87</v>
      </c>
      <c r="F31" s="9" t="s">
        <v>57</v>
      </c>
    </row>
    <row r="32" customFormat="false" ht="15" hidden="false" customHeight="false" outlineLevel="0" collapsed="false">
      <c r="A32" s="9" t="s">
        <v>50</v>
      </c>
      <c r="B32" s="9" t="s">
        <v>85</v>
      </c>
      <c r="C32" s="9" t="s">
        <v>92</v>
      </c>
      <c r="D32" s="9" t="s">
        <v>56</v>
      </c>
      <c r="E32" s="9" t="s">
        <v>87</v>
      </c>
      <c r="F32" s="9" t="s">
        <v>57</v>
      </c>
    </row>
    <row r="33" customFormat="false" ht="15" hidden="false" customHeight="false" outlineLevel="0" collapsed="false">
      <c r="A33" s="9" t="s">
        <v>50</v>
      </c>
      <c r="B33" s="9" t="s">
        <v>93</v>
      </c>
      <c r="C33" s="9" t="s">
        <v>94</v>
      </c>
      <c r="D33" s="9" t="s">
        <v>56</v>
      </c>
      <c r="E33" s="9" t="s">
        <v>95</v>
      </c>
      <c r="F33" s="9" t="s">
        <v>57</v>
      </c>
    </row>
    <row r="34" customFormat="false" ht="15" hidden="false" customHeight="false" outlineLevel="0" collapsed="false">
      <c r="A34" s="9" t="s">
        <v>50</v>
      </c>
      <c r="B34" s="9" t="s">
        <v>93</v>
      </c>
      <c r="C34" s="9" t="s">
        <v>96</v>
      </c>
      <c r="D34" s="9" t="s">
        <v>56</v>
      </c>
      <c r="E34" s="9" t="s">
        <v>95</v>
      </c>
      <c r="F34" s="9" t="s">
        <v>57</v>
      </c>
    </row>
    <row r="35" customFormat="false" ht="15" hidden="false" customHeight="false" outlineLevel="0" collapsed="false">
      <c r="A35" s="9" t="s">
        <v>50</v>
      </c>
      <c r="B35" s="9" t="s">
        <v>93</v>
      </c>
      <c r="C35" s="9" t="s">
        <v>97</v>
      </c>
      <c r="D35" s="9" t="s">
        <v>56</v>
      </c>
      <c r="E35" s="9" t="s">
        <v>95</v>
      </c>
      <c r="F35" s="9" t="s">
        <v>57</v>
      </c>
    </row>
    <row r="36" customFormat="false" ht="15" hidden="false" customHeight="false" outlineLevel="0" collapsed="false">
      <c r="A36" s="9" t="s">
        <v>50</v>
      </c>
      <c r="B36" s="9" t="s">
        <v>93</v>
      </c>
      <c r="C36" s="9" t="s">
        <v>98</v>
      </c>
      <c r="D36" s="9" t="s">
        <v>56</v>
      </c>
      <c r="E36" s="9" t="s">
        <v>95</v>
      </c>
      <c r="F36" s="9" t="s">
        <v>57</v>
      </c>
    </row>
    <row r="37" customFormat="false" ht="15" hidden="false" customHeight="false" outlineLevel="0" collapsed="false">
      <c r="A37" s="9" t="s">
        <v>50</v>
      </c>
      <c r="B37" s="9" t="s">
        <v>93</v>
      </c>
      <c r="C37" s="9" t="s">
        <v>99</v>
      </c>
      <c r="D37" s="9" t="s">
        <v>56</v>
      </c>
      <c r="E37" s="9" t="s">
        <v>95</v>
      </c>
      <c r="F37" s="9" t="s">
        <v>57</v>
      </c>
    </row>
    <row r="38" customFormat="false" ht="15" hidden="false" customHeight="false" outlineLevel="0" collapsed="false">
      <c r="A38" s="9" t="s">
        <v>50</v>
      </c>
      <c r="B38" s="9" t="s">
        <v>100</v>
      </c>
      <c r="C38" s="9" t="s">
        <v>101</v>
      </c>
      <c r="D38" s="9" t="s">
        <v>56</v>
      </c>
      <c r="E38" s="9" t="s">
        <v>102</v>
      </c>
      <c r="F38" s="9" t="s">
        <v>57</v>
      </c>
    </row>
    <row r="39" customFormat="false" ht="15" hidden="false" customHeight="false" outlineLevel="0" collapsed="false">
      <c r="A39" s="9" t="s">
        <v>50</v>
      </c>
      <c r="B39" s="9" t="s">
        <v>100</v>
      </c>
      <c r="C39" s="9" t="s">
        <v>103</v>
      </c>
      <c r="D39" s="9" t="s">
        <v>56</v>
      </c>
      <c r="E39" s="9" t="s">
        <v>102</v>
      </c>
      <c r="F39" s="9" t="s">
        <v>57</v>
      </c>
    </row>
    <row r="40" customFormat="false" ht="15" hidden="false" customHeight="false" outlineLevel="0" collapsed="false">
      <c r="A40" s="9" t="s">
        <v>50</v>
      </c>
      <c r="B40" s="9" t="s">
        <v>100</v>
      </c>
      <c r="C40" s="9" t="s">
        <v>104</v>
      </c>
      <c r="D40" s="9" t="s">
        <v>56</v>
      </c>
      <c r="E40" s="9" t="s">
        <v>102</v>
      </c>
      <c r="F40" s="9" t="s">
        <v>57</v>
      </c>
    </row>
    <row r="41" customFormat="false" ht="15" hidden="false" customHeight="false" outlineLevel="0" collapsed="false">
      <c r="A41" s="9" t="s">
        <v>50</v>
      </c>
      <c r="B41" s="9" t="s">
        <v>100</v>
      </c>
      <c r="C41" s="9" t="s">
        <v>105</v>
      </c>
      <c r="D41" s="9" t="s">
        <v>56</v>
      </c>
      <c r="E41" s="9" t="s">
        <v>102</v>
      </c>
      <c r="F41" s="9" t="s">
        <v>57</v>
      </c>
    </row>
    <row r="42" customFormat="false" ht="15" hidden="false" customHeight="false" outlineLevel="0" collapsed="false">
      <c r="A42" s="9" t="s">
        <v>50</v>
      </c>
      <c r="B42" s="9" t="s">
        <v>100</v>
      </c>
      <c r="C42" s="9" t="s">
        <v>106</v>
      </c>
      <c r="D42" s="9" t="s">
        <v>56</v>
      </c>
      <c r="E42" s="9" t="s">
        <v>102</v>
      </c>
      <c r="F42" s="9" t="s">
        <v>57</v>
      </c>
    </row>
    <row r="43" customFormat="false" ht="15" hidden="false" customHeight="false" outlineLevel="0" collapsed="false">
      <c r="A43" s="9" t="s">
        <v>50</v>
      </c>
      <c r="B43" s="9" t="s">
        <v>100</v>
      </c>
      <c r="C43" s="9" t="s">
        <v>107</v>
      </c>
      <c r="D43" s="9" t="s">
        <v>56</v>
      </c>
      <c r="E43" s="9" t="s">
        <v>102</v>
      </c>
      <c r="F43" s="9" t="s">
        <v>57</v>
      </c>
    </row>
    <row r="44" customFormat="false" ht="15" hidden="false" customHeight="false" outlineLevel="0" collapsed="false">
      <c r="A44" s="9" t="s">
        <v>50</v>
      </c>
      <c r="B44" s="9" t="s">
        <v>108</v>
      </c>
      <c r="C44" s="9" t="s">
        <v>109</v>
      </c>
      <c r="D44" s="9" t="s">
        <v>56</v>
      </c>
      <c r="E44" s="9" t="s">
        <v>110</v>
      </c>
      <c r="F44" s="9" t="s">
        <v>57</v>
      </c>
    </row>
    <row r="45" customFormat="false" ht="15" hidden="false" customHeight="false" outlineLevel="0" collapsed="false">
      <c r="A45" s="9" t="s">
        <v>50</v>
      </c>
      <c r="B45" s="9" t="s">
        <v>108</v>
      </c>
      <c r="C45" s="9" t="s">
        <v>111</v>
      </c>
      <c r="D45" s="9" t="s">
        <v>53</v>
      </c>
      <c r="E45" s="9" t="s">
        <v>110</v>
      </c>
      <c r="F45" s="9" t="s">
        <v>55</v>
      </c>
    </row>
    <row r="46" customFormat="false" ht="15" hidden="false" customHeight="false" outlineLevel="0" collapsed="false">
      <c r="A46" s="9" t="s">
        <v>50</v>
      </c>
      <c r="B46" s="9" t="s">
        <v>108</v>
      </c>
      <c r="C46" s="9" t="s">
        <v>112</v>
      </c>
      <c r="D46" s="9" t="s">
        <v>56</v>
      </c>
      <c r="E46" s="9" t="s">
        <v>110</v>
      </c>
      <c r="F46" s="9" t="s">
        <v>57</v>
      </c>
    </row>
    <row r="47" customFormat="false" ht="15" hidden="false" customHeight="false" outlineLevel="0" collapsed="false">
      <c r="A47" s="9" t="s">
        <v>50</v>
      </c>
      <c r="B47" s="9" t="s">
        <v>108</v>
      </c>
      <c r="C47" s="9" t="s">
        <v>113</v>
      </c>
      <c r="D47" s="9" t="s">
        <v>56</v>
      </c>
      <c r="E47" s="9" t="s">
        <v>110</v>
      </c>
      <c r="F47" s="9" t="s">
        <v>57</v>
      </c>
    </row>
    <row r="48" customFormat="false" ht="15" hidden="false" customHeight="false" outlineLevel="0" collapsed="false">
      <c r="A48" s="9" t="s">
        <v>50</v>
      </c>
      <c r="B48" s="9" t="s">
        <v>108</v>
      </c>
      <c r="C48" s="9" t="s">
        <v>114</v>
      </c>
      <c r="D48" s="9" t="s">
        <v>56</v>
      </c>
      <c r="E48" s="9" t="s">
        <v>110</v>
      </c>
      <c r="F48" s="9" t="s">
        <v>57</v>
      </c>
    </row>
    <row r="49" customFormat="false" ht="15" hidden="false" customHeight="false" outlineLevel="0" collapsed="false">
      <c r="A49" s="9" t="s">
        <v>50</v>
      </c>
      <c r="B49" s="9" t="s">
        <v>108</v>
      </c>
      <c r="C49" s="9" t="s">
        <v>115</v>
      </c>
      <c r="D49" s="9" t="s">
        <v>56</v>
      </c>
      <c r="E49" s="9" t="s">
        <v>110</v>
      </c>
      <c r="F49" s="9" t="s">
        <v>57</v>
      </c>
    </row>
    <row r="50" customFormat="false" ht="15" hidden="false" customHeight="false" outlineLevel="0" collapsed="false">
      <c r="A50" s="9" t="s">
        <v>50</v>
      </c>
      <c r="B50" s="9" t="s">
        <v>116</v>
      </c>
      <c r="C50" s="9" t="s">
        <v>117</v>
      </c>
      <c r="D50" s="9" t="s">
        <v>56</v>
      </c>
      <c r="E50" s="9" t="s">
        <v>118</v>
      </c>
      <c r="F50" s="9" t="s">
        <v>57</v>
      </c>
    </row>
    <row r="51" customFormat="false" ht="15" hidden="false" customHeight="false" outlineLevel="0" collapsed="false">
      <c r="A51" s="9" t="s">
        <v>50</v>
      </c>
      <c r="B51" s="9" t="s">
        <v>116</v>
      </c>
      <c r="C51" s="9" t="s">
        <v>119</v>
      </c>
      <c r="D51" s="9" t="s">
        <v>56</v>
      </c>
      <c r="E51" s="9" t="s">
        <v>118</v>
      </c>
      <c r="F51" s="9" t="s">
        <v>57</v>
      </c>
    </row>
    <row r="52" customFormat="false" ht="15" hidden="false" customHeight="false" outlineLevel="0" collapsed="false">
      <c r="A52" s="9" t="s">
        <v>50</v>
      </c>
      <c r="B52" s="9" t="s">
        <v>116</v>
      </c>
      <c r="C52" s="9" t="s">
        <v>120</v>
      </c>
      <c r="D52" s="9" t="s">
        <v>56</v>
      </c>
      <c r="E52" s="9" t="s">
        <v>118</v>
      </c>
      <c r="F52" s="9" t="s">
        <v>57</v>
      </c>
    </row>
    <row r="53" customFormat="false" ht="15" hidden="false" customHeight="false" outlineLevel="0" collapsed="false">
      <c r="A53" s="9" t="s">
        <v>50</v>
      </c>
      <c r="B53" s="9" t="s">
        <v>116</v>
      </c>
      <c r="C53" s="9" t="s">
        <v>121</v>
      </c>
      <c r="D53" s="9" t="s">
        <v>56</v>
      </c>
      <c r="E53" s="9" t="s">
        <v>118</v>
      </c>
      <c r="F53" s="9" t="s">
        <v>57</v>
      </c>
    </row>
    <row r="54" customFormat="false" ht="15" hidden="false" customHeight="false" outlineLevel="0" collapsed="false">
      <c r="A54" s="9" t="s">
        <v>50</v>
      </c>
      <c r="B54" s="9" t="s">
        <v>116</v>
      </c>
      <c r="C54" s="9" t="s">
        <v>122</v>
      </c>
      <c r="D54" s="9" t="s">
        <v>56</v>
      </c>
      <c r="E54" s="9" t="s">
        <v>118</v>
      </c>
      <c r="F54" s="9" t="s">
        <v>57</v>
      </c>
    </row>
    <row r="55" customFormat="false" ht="15" hidden="false" customHeight="false" outlineLevel="0" collapsed="false">
      <c r="A55" s="9" t="s">
        <v>123</v>
      </c>
      <c r="B55" s="9" t="s">
        <v>124</v>
      </c>
      <c r="C55" s="9" t="s">
        <v>125</v>
      </c>
      <c r="D55" s="9" t="s">
        <v>56</v>
      </c>
      <c r="E55" s="9" t="s">
        <v>54</v>
      </c>
      <c r="F55" s="9" t="s">
        <v>57</v>
      </c>
    </row>
    <row r="56" customFormat="false" ht="15" hidden="false" customHeight="false" outlineLevel="0" collapsed="false">
      <c r="A56" s="9" t="s">
        <v>123</v>
      </c>
      <c r="B56" s="9" t="s">
        <v>124</v>
      </c>
      <c r="C56" s="9" t="s">
        <v>126</v>
      </c>
      <c r="D56" s="9" t="s">
        <v>56</v>
      </c>
      <c r="E56" s="9" t="s">
        <v>54</v>
      </c>
      <c r="F56" s="9" t="s">
        <v>57</v>
      </c>
    </row>
    <row r="57" customFormat="false" ht="15" hidden="false" customHeight="false" outlineLevel="0" collapsed="false">
      <c r="A57" s="9" t="s">
        <v>123</v>
      </c>
      <c r="B57" s="9" t="s">
        <v>124</v>
      </c>
      <c r="C57" s="9" t="s">
        <v>127</v>
      </c>
      <c r="D57" s="9" t="s">
        <v>56</v>
      </c>
      <c r="E57" s="9" t="s">
        <v>54</v>
      </c>
      <c r="F57" s="9" t="s">
        <v>57</v>
      </c>
    </row>
    <row r="58" customFormat="false" ht="15" hidden="false" customHeight="false" outlineLevel="0" collapsed="false">
      <c r="A58" s="9" t="s">
        <v>123</v>
      </c>
      <c r="B58" s="9" t="s">
        <v>124</v>
      </c>
      <c r="C58" s="9" t="s">
        <v>128</v>
      </c>
      <c r="D58" s="9" t="s">
        <v>56</v>
      </c>
      <c r="E58" s="9" t="s">
        <v>54</v>
      </c>
      <c r="F58" s="9" t="s">
        <v>57</v>
      </c>
    </row>
  </sheetData>
  <autoFilter ref="A1:F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17" min="3" style="0" width="26"/>
    <col collapsed="false" customWidth="true" hidden="false" outlineLevel="0" max="21" min="18" style="0" width="48"/>
    <col collapsed="false" customWidth="true" hidden="false" outlineLevel="0" max="22" min="22" style="0" width="40"/>
    <col collapsed="false" customWidth="true" hidden="false" outlineLevel="0" max="24" min="23" style="0" width="14"/>
  </cols>
  <sheetData>
    <row r="1" customFormat="false" ht="15" hidden="false" customHeight="false" outlineLevel="0" collapsed="false">
      <c r="A1" s="8" t="s">
        <v>44</v>
      </c>
      <c r="B1" s="8" t="s">
        <v>45</v>
      </c>
      <c r="C1" s="8" t="s">
        <v>129</v>
      </c>
      <c r="D1" s="8" t="s">
        <v>130</v>
      </c>
      <c r="E1" s="8" t="s">
        <v>131</v>
      </c>
      <c r="F1" s="8" t="s">
        <v>132</v>
      </c>
      <c r="G1" s="8" t="s">
        <v>133</v>
      </c>
      <c r="H1" s="8" t="s">
        <v>134</v>
      </c>
      <c r="I1" s="8" t="s">
        <v>135</v>
      </c>
      <c r="J1" s="8" t="s">
        <v>136</v>
      </c>
      <c r="K1" s="8" t="s">
        <v>137</v>
      </c>
      <c r="L1" s="8" t="s">
        <v>138</v>
      </c>
      <c r="M1" s="8" t="s">
        <v>139</v>
      </c>
      <c r="N1" s="8" t="s">
        <v>140</v>
      </c>
      <c r="O1" s="8" t="s">
        <v>141</v>
      </c>
      <c r="P1" s="8" t="s">
        <v>142</v>
      </c>
      <c r="Q1" s="8" t="s">
        <v>143</v>
      </c>
      <c r="R1" s="8" t="s">
        <v>144</v>
      </c>
      <c r="S1" s="8" t="s">
        <v>145</v>
      </c>
      <c r="T1" s="8" t="s">
        <v>146</v>
      </c>
      <c r="U1" s="8" t="s">
        <v>147</v>
      </c>
      <c r="V1" s="8" t="s">
        <v>48</v>
      </c>
      <c r="W1" s="8" t="s">
        <v>148</v>
      </c>
      <c r="X1" s="8" t="s">
        <v>149</v>
      </c>
    </row>
    <row r="2" customFormat="false" ht="23.85" hidden="false" customHeight="false" outlineLevel="0" collapsed="false">
      <c r="A2" s="9" t="s">
        <v>50</v>
      </c>
      <c r="B2" s="9" t="s">
        <v>51</v>
      </c>
      <c r="C2" s="9" t="s">
        <v>150</v>
      </c>
      <c r="D2" s="9" t="s">
        <v>151</v>
      </c>
      <c r="E2" s="9" t="s">
        <v>152</v>
      </c>
      <c r="F2" s="9" t="s">
        <v>153</v>
      </c>
      <c r="G2" s="9" t="s">
        <v>154</v>
      </c>
      <c r="H2" s="9" t="s">
        <v>155</v>
      </c>
      <c r="I2" s="9" t="s">
        <v>156</v>
      </c>
      <c r="J2" s="9" t="s">
        <v>157</v>
      </c>
      <c r="K2" s="9" t="s">
        <v>158</v>
      </c>
      <c r="L2" s="9" t="s">
        <v>159</v>
      </c>
      <c r="M2" s="9" t="s">
        <v>160</v>
      </c>
      <c r="N2" s="9" t="s">
        <v>161</v>
      </c>
      <c r="O2" s="9"/>
      <c r="P2" s="9"/>
      <c r="Q2" s="9"/>
      <c r="R2" s="9" t="s">
        <v>162</v>
      </c>
      <c r="S2" s="9" t="s">
        <v>163</v>
      </c>
      <c r="T2" s="9" t="s">
        <v>164</v>
      </c>
      <c r="U2" s="9" t="s">
        <v>165</v>
      </c>
      <c r="V2" s="9" t="s">
        <v>54</v>
      </c>
      <c r="W2" s="9" t="s">
        <v>166</v>
      </c>
      <c r="X2" s="9" t="s">
        <v>167</v>
      </c>
    </row>
    <row r="3" customFormat="false" ht="23.85" hidden="false" customHeight="false" outlineLevel="0" collapsed="false">
      <c r="A3" s="9" t="s">
        <v>50</v>
      </c>
      <c r="B3" s="9" t="s">
        <v>66</v>
      </c>
      <c r="C3" s="9" t="s">
        <v>168</v>
      </c>
      <c r="D3" s="9" t="s">
        <v>169</v>
      </c>
      <c r="E3" s="9" t="s">
        <v>170</v>
      </c>
      <c r="F3" s="9" t="s">
        <v>171</v>
      </c>
      <c r="G3" s="9" t="s">
        <v>172</v>
      </c>
      <c r="H3" s="9" t="s">
        <v>155</v>
      </c>
      <c r="I3" s="9" t="s">
        <v>156</v>
      </c>
      <c r="J3" s="9" t="s">
        <v>157</v>
      </c>
      <c r="K3" s="9" t="s">
        <v>158</v>
      </c>
      <c r="L3" s="9" t="s">
        <v>173</v>
      </c>
      <c r="M3" s="9" t="s">
        <v>174</v>
      </c>
      <c r="N3" s="9"/>
      <c r="O3" s="9"/>
      <c r="P3" s="9"/>
      <c r="Q3" s="9"/>
      <c r="R3" s="9" t="s">
        <v>175</v>
      </c>
      <c r="S3" s="9" t="s">
        <v>176</v>
      </c>
      <c r="T3" s="9" t="s">
        <v>177</v>
      </c>
      <c r="U3" s="9" t="s">
        <v>178</v>
      </c>
      <c r="V3" s="9" t="s">
        <v>68</v>
      </c>
      <c r="W3" s="9" t="s">
        <v>179</v>
      </c>
      <c r="X3" s="9" t="s">
        <v>167</v>
      </c>
    </row>
    <row r="4" customFormat="false" ht="23.85" hidden="false" customHeight="false" outlineLevel="0" collapsed="false">
      <c r="A4" s="9" t="s">
        <v>50</v>
      </c>
      <c r="B4" s="9" t="s">
        <v>76</v>
      </c>
      <c r="C4" s="9" t="s">
        <v>180</v>
      </c>
      <c r="D4" s="9" t="s">
        <v>181</v>
      </c>
      <c r="E4" s="9" t="s">
        <v>182</v>
      </c>
      <c r="F4" s="9" t="s">
        <v>183</v>
      </c>
      <c r="G4" s="9" t="s">
        <v>184</v>
      </c>
      <c r="H4" s="9" t="s">
        <v>155</v>
      </c>
      <c r="I4" s="9" t="s">
        <v>156</v>
      </c>
      <c r="J4" s="9" t="s">
        <v>157</v>
      </c>
      <c r="K4" s="9" t="s">
        <v>158</v>
      </c>
      <c r="L4" s="9" t="s">
        <v>185</v>
      </c>
      <c r="M4" s="9" t="s">
        <v>186</v>
      </c>
      <c r="N4" s="9"/>
      <c r="O4" s="9"/>
      <c r="P4" s="9"/>
      <c r="Q4" s="9"/>
      <c r="R4" s="9" t="s">
        <v>187</v>
      </c>
      <c r="S4" s="9" t="s">
        <v>188</v>
      </c>
      <c r="T4" s="9" t="s">
        <v>189</v>
      </c>
      <c r="U4" s="9" t="s">
        <v>190</v>
      </c>
      <c r="V4" s="9" t="s">
        <v>78</v>
      </c>
      <c r="W4" s="9" t="s">
        <v>191</v>
      </c>
      <c r="X4" s="9" t="s">
        <v>167</v>
      </c>
    </row>
    <row r="5" customFormat="false" ht="23.85" hidden="false" customHeight="false" outlineLevel="0" collapsed="false">
      <c r="A5" s="9" t="s">
        <v>50</v>
      </c>
      <c r="B5" s="9" t="s">
        <v>85</v>
      </c>
      <c r="C5" s="9" t="s">
        <v>192</v>
      </c>
      <c r="D5" s="9" t="s">
        <v>193</v>
      </c>
      <c r="E5" s="9" t="s">
        <v>194</v>
      </c>
      <c r="F5" s="9" t="s">
        <v>195</v>
      </c>
      <c r="G5" s="9" t="s">
        <v>196</v>
      </c>
      <c r="H5" s="9" t="s">
        <v>155</v>
      </c>
      <c r="I5" s="9" t="s">
        <v>156</v>
      </c>
      <c r="J5" s="9" t="s">
        <v>197</v>
      </c>
      <c r="K5" s="9" t="s">
        <v>198</v>
      </c>
      <c r="L5" s="9" t="s">
        <v>199</v>
      </c>
      <c r="M5" s="9"/>
      <c r="N5" s="9"/>
      <c r="O5" s="9"/>
      <c r="P5" s="9"/>
      <c r="Q5" s="9"/>
      <c r="R5" s="9" t="s">
        <v>200</v>
      </c>
      <c r="S5" s="9" t="s">
        <v>201</v>
      </c>
      <c r="T5" s="9" t="s">
        <v>202</v>
      </c>
      <c r="U5" s="9" t="s">
        <v>203</v>
      </c>
      <c r="V5" s="9" t="s">
        <v>87</v>
      </c>
      <c r="W5" s="9" t="s">
        <v>204</v>
      </c>
      <c r="X5" s="9" t="s">
        <v>167</v>
      </c>
    </row>
    <row r="6" customFormat="false" ht="23.85" hidden="false" customHeight="false" outlineLevel="0" collapsed="false">
      <c r="A6" s="9" t="s">
        <v>50</v>
      </c>
      <c r="B6" s="9" t="s">
        <v>93</v>
      </c>
      <c r="C6" s="9" t="s">
        <v>205</v>
      </c>
      <c r="D6" s="9" t="s">
        <v>206</v>
      </c>
      <c r="E6" s="9" t="s">
        <v>207</v>
      </c>
      <c r="F6" s="9" t="s">
        <v>208</v>
      </c>
      <c r="G6" s="9" t="s">
        <v>209</v>
      </c>
      <c r="H6" s="9" t="s">
        <v>155</v>
      </c>
      <c r="I6" s="9" t="s">
        <v>156</v>
      </c>
      <c r="J6" s="9" t="s">
        <v>157</v>
      </c>
      <c r="K6" s="9" t="s">
        <v>158</v>
      </c>
      <c r="L6" s="9" t="s">
        <v>210</v>
      </c>
      <c r="M6" s="9" t="s">
        <v>211</v>
      </c>
      <c r="N6" s="9"/>
      <c r="O6" s="9"/>
      <c r="P6" s="9"/>
      <c r="Q6" s="9"/>
      <c r="R6" s="9" t="s">
        <v>212</v>
      </c>
      <c r="S6" s="9" t="s">
        <v>213</v>
      </c>
      <c r="T6" s="9" t="s">
        <v>214</v>
      </c>
      <c r="U6" s="9" t="s">
        <v>215</v>
      </c>
      <c r="V6" s="9" t="s">
        <v>95</v>
      </c>
      <c r="W6" s="9" t="s">
        <v>216</v>
      </c>
      <c r="X6" s="9" t="s">
        <v>166</v>
      </c>
    </row>
    <row r="7" customFormat="false" ht="23.85" hidden="false" customHeight="false" outlineLevel="0" collapsed="false">
      <c r="A7" s="9" t="s">
        <v>50</v>
      </c>
      <c r="B7" s="9" t="s">
        <v>100</v>
      </c>
      <c r="C7" s="9" t="s">
        <v>217</v>
      </c>
      <c r="D7" s="9" t="s">
        <v>218</v>
      </c>
      <c r="E7" s="9" t="s">
        <v>219</v>
      </c>
      <c r="F7" s="9" t="s">
        <v>220</v>
      </c>
      <c r="G7" s="9" t="s">
        <v>221</v>
      </c>
      <c r="H7" s="9" t="s">
        <v>155</v>
      </c>
      <c r="I7" s="9" t="s">
        <v>156</v>
      </c>
      <c r="J7" s="9" t="s">
        <v>157</v>
      </c>
      <c r="K7" s="9" t="s">
        <v>158</v>
      </c>
      <c r="L7" s="9" t="s">
        <v>197</v>
      </c>
      <c r="M7" s="9" t="s">
        <v>222</v>
      </c>
      <c r="N7" s="9"/>
      <c r="O7" s="9"/>
      <c r="P7" s="9"/>
      <c r="Q7" s="9"/>
      <c r="R7" s="9" t="s">
        <v>223</v>
      </c>
      <c r="S7" s="9" t="s">
        <v>224</v>
      </c>
      <c r="T7" s="9" t="s">
        <v>225</v>
      </c>
      <c r="U7" s="9" t="s">
        <v>226</v>
      </c>
      <c r="V7" s="9" t="s">
        <v>102</v>
      </c>
      <c r="W7" s="9" t="s">
        <v>227</v>
      </c>
      <c r="X7" s="9" t="s">
        <v>167</v>
      </c>
    </row>
    <row r="8" customFormat="false" ht="23.85" hidden="false" customHeight="false" outlineLevel="0" collapsed="false">
      <c r="A8" s="9" t="s">
        <v>50</v>
      </c>
      <c r="B8" s="9" t="s">
        <v>108</v>
      </c>
      <c r="C8" s="9" t="s">
        <v>108</v>
      </c>
      <c r="D8" s="9" t="s">
        <v>228</v>
      </c>
      <c r="E8" s="9" t="s">
        <v>229</v>
      </c>
      <c r="F8" s="9" t="s">
        <v>230</v>
      </c>
      <c r="G8" s="9" t="s">
        <v>231</v>
      </c>
      <c r="H8" s="9" t="s">
        <v>155</v>
      </c>
      <c r="I8" s="9" t="s">
        <v>156</v>
      </c>
      <c r="J8" s="9" t="s">
        <v>157</v>
      </c>
      <c r="K8" s="9" t="s">
        <v>158</v>
      </c>
      <c r="L8" s="9" t="s">
        <v>160</v>
      </c>
      <c r="M8" s="9" t="s">
        <v>232</v>
      </c>
      <c r="N8" s="9"/>
      <c r="O8" s="9"/>
      <c r="P8" s="9"/>
      <c r="Q8" s="9"/>
      <c r="R8" s="9" t="s">
        <v>233</v>
      </c>
      <c r="S8" s="9" t="s">
        <v>234</v>
      </c>
      <c r="T8" s="9" t="s">
        <v>235</v>
      </c>
      <c r="U8" s="9" t="s">
        <v>236</v>
      </c>
      <c r="V8" s="9" t="s">
        <v>110</v>
      </c>
      <c r="W8" s="9" t="s">
        <v>237</v>
      </c>
      <c r="X8" s="9" t="s">
        <v>166</v>
      </c>
    </row>
    <row r="9" customFormat="false" ht="23.85" hidden="false" customHeight="false" outlineLevel="0" collapsed="false">
      <c r="A9" s="9" t="s">
        <v>50</v>
      </c>
      <c r="B9" s="9" t="s">
        <v>116</v>
      </c>
      <c r="C9" s="9" t="s">
        <v>238</v>
      </c>
      <c r="D9" s="9" t="s">
        <v>239</v>
      </c>
      <c r="E9" s="9" t="s">
        <v>240</v>
      </c>
      <c r="F9" s="9" t="s">
        <v>241</v>
      </c>
      <c r="G9" s="9" t="s">
        <v>242</v>
      </c>
      <c r="H9" s="9" t="s">
        <v>155</v>
      </c>
      <c r="I9" s="9" t="s">
        <v>156</v>
      </c>
      <c r="J9" s="9" t="s">
        <v>157</v>
      </c>
      <c r="K9" s="9" t="s">
        <v>158</v>
      </c>
      <c r="L9" s="9" t="s">
        <v>243</v>
      </c>
      <c r="M9" s="9" t="s">
        <v>244</v>
      </c>
      <c r="N9" s="9"/>
      <c r="O9" s="9"/>
      <c r="P9" s="9"/>
      <c r="Q9" s="9"/>
      <c r="R9" s="9" t="s">
        <v>245</v>
      </c>
      <c r="S9" s="9" t="s">
        <v>246</v>
      </c>
      <c r="T9" s="9" t="s">
        <v>247</v>
      </c>
      <c r="U9" s="9" t="s">
        <v>248</v>
      </c>
      <c r="V9" s="9" t="s">
        <v>118</v>
      </c>
      <c r="W9" s="9" t="s">
        <v>249</v>
      </c>
      <c r="X9" s="9" t="s">
        <v>167</v>
      </c>
    </row>
    <row r="10" customFormat="false" ht="23.85" hidden="false" customHeight="false" outlineLevel="0" collapsed="false">
      <c r="A10" s="9" t="s">
        <v>123</v>
      </c>
      <c r="B10" s="9" t="s">
        <v>124</v>
      </c>
      <c r="C10" s="9" t="s">
        <v>151</v>
      </c>
      <c r="D10" s="9" t="s">
        <v>250</v>
      </c>
      <c r="E10" s="9" t="s">
        <v>251</v>
      </c>
      <c r="F10" s="9" t="s">
        <v>252</v>
      </c>
      <c r="G10" s="9" t="s">
        <v>156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 t="s">
        <v>253</v>
      </c>
      <c r="S10" s="9" t="s">
        <v>254</v>
      </c>
      <c r="T10" s="9"/>
      <c r="U10" s="9"/>
      <c r="V10" s="9" t="s">
        <v>54</v>
      </c>
      <c r="W10" s="9" t="s">
        <v>255</v>
      </c>
      <c r="X10" s="9" t="s">
        <v>167</v>
      </c>
    </row>
  </sheetData>
  <conditionalFormatting sqref="C2:Q10">
    <cfRule type="expression" priority="2" aboveAverage="0" equalAverage="0" bottom="0" percent="0" rank="0" text="" dxfId="3">
      <formula>LEN(C2)&gt;30</formula>
    </cfRule>
  </conditionalFormatting>
  <conditionalFormatting sqref="R2:U10">
    <cfRule type="expression" priority="3" aboveAverage="0" equalAverage="0" bottom="0" percent="0" rank="0" text="" dxfId="3">
      <formula>LEN(R2)&gt;90</formula>
    </cfRule>
  </conditionalFormatting>
  <conditionalFormatting sqref="W2:X10">
    <cfRule type="expression" priority="4" aboveAverage="0" equalAverage="0" bottom="0" percent="0" rank="0" text="" dxfId="3">
      <formula>LEN(W2)&gt;15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8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</cols>
  <sheetData>
    <row r="1" customFormat="false" ht="26.85" hidden="false" customHeight="false" outlineLevel="0" collapsed="false">
      <c r="A1" s="8" t="s">
        <v>256</v>
      </c>
      <c r="B1" s="8" t="s">
        <v>257</v>
      </c>
      <c r="C1" s="8" t="s">
        <v>258</v>
      </c>
      <c r="D1" s="8" t="s">
        <v>259</v>
      </c>
      <c r="E1" s="8" t="s">
        <v>260</v>
      </c>
      <c r="F1" s="8" t="s">
        <v>261</v>
      </c>
    </row>
    <row r="2" customFormat="false" ht="15" hidden="false" customHeight="false" outlineLevel="0" collapsed="false">
      <c r="A2" s="9" t="s">
        <v>51</v>
      </c>
      <c r="B2" s="9" t="s">
        <v>262</v>
      </c>
      <c r="C2" s="9" t="s">
        <v>150</v>
      </c>
      <c r="D2" s="9" t="n">
        <f aca="false">LEN(C2)</f>
        <v>18</v>
      </c>
      <c r="E2" s="9" t="n">
        <v>30</v>
      </c>
      <c r="F2" s="9" t="str">
        <f aca="false">IF(D2&lt;=E2,"OK","Сократить")</f>
        <v>OK</v>
      </c>
    </row>
    <row r="3" customFormat="false" ht="15" hidden="false" customHeight="false" outlineLevel="0" collapsed="false">
      <c r="A3" s="9" t="s">
        <v>51</v>
      </c>
      <c r="B3" s="9" t="s">
        <v>262</v>
      </c>
      <c r="C3" s="9" t="s">
        <v>151</v>
      </c>
      <c r="D3" s="9" t="n">
        <f aca="false">LEN(C3)</f>
        <v>21</v>
      </c>
      <c r="E3" s="9" t="n">
        <v>30</v>
      </c>
      <c r="F3" s="9" t="str">
        <f aca="false">IF(D3&lt;=E3,"OK","Сократить")</f>
        <v>OK</v>
      </c>
    </row>
    <row r="4" customFormat="false" ht="15" hidden="false" customHeight="false" outlineLevel="0" collapsed="false">
      <c r="A4" s="9" t="s">
        <v>51</v>
      </c>
      <c r="B4" s="9" t="s">
        <v>262</v>
      </c>
      <c r="C4" s="9" t="s">
        <v>152</v>
      </c>
      <c r="D4" s="9" t="n">
        <f aca="false">LEN(C4)</f>
        <v>28</v>
      </c>
      <c r="E4" s="9" t="n">
        <v>30</v>
      </c>
      <c r="F4" s="9" t="str">
        <f aca="false">IF(D4&lt;=E4,"OK","Сократить")</f>
        <v>OK</v>
      </c>
    </row>
    <row r="5" customFormat="false" ht="15" hidden="false" customHeight="false" outlineLevel="0" collapsed="false">
      <c r="A5" s="9" t="s">
        <v>51</v>
      </c>
      <c r="B5" s="9" t="s">
        <v>262</v>
      </c>
      <c r="C5" s="9" t="s">
        <v>153</v>
      </c>
      <c r="D5" s="9" t="n">
        <f aca="false">LEN(C5)</f>
        <v>29</v>
      </c>
      <c r="E5" s="9" t="n">
        <v>30</v>
      </c>
      <c r="F5" s="9" t="str">
        <f aca="false">IF(D5&lt;=E5,"OK","Сократить")</f>
        <v>OK</v>
      </c>
    </row>
    <row r="6" customFormat="false" ht="15" hidden="false" customHeight="false" outlineLevel="0" collapsed="false">
      <c r="A6" s="9" t="s">
        <v>51</v>
      </c>
      <c r="B6" s="9" t="s">
        <v>262</v>
      </c>
      <c r="C6" s="9" t="s">
        <v>154</v>
      </c>
      <c r="D6" s="9" t="n">
        <f aca="false">LEN(C6)</f>
        <v>18</v>
      </c>
      <c r="E6" s="9" t="n">
        <v>30</v>
      </c>
      <c r="F6" s="9" t="str">
        <f aca="false">IF(D6&lt;=E6,"OK","Сократить")</f>
        <v>OK</v>
      </c>
    </row>
    <row r="7" customFormat="false" ht="15" hidden="false" customHeight="false" outlineLevel="0" collapsed="false">
      <c r="A7" s="9" t="s">
        <v>51</v>
      </c>
      <c r="B7" s="9" t="s">
        <v>262</v>
      </c>
      <c r="C7" s="9" t="s">
        <v>155</v>
      </c>
      <c r="D7" s="9" t="n">
        <f aca="false">LEN(C7)</f>
        <v>19</v>
      </c>
      <c r="E7" s="9" t="n">
        <v>30</v>
      </c>
      <c r="F7" s="9" t="str">
        <f aca="false">IF(D7&lt;=E7,"OK","Сократить")</f>
        <v>OK</v>
      </c>
    </row>
    <row r="8" customFormat="false" ht="15" hidden="false" customHeight="false" outlineLevel="0" collapsed="false">
      <c r="A8" s="9" t="s">
        <v>51</v>
      </c>
      <c r="B8" s="9" t="s">
        <v>262</v>
      </c>
      <c r="C8" s="9" t="s">
        <v>156</v>
      </c>
      <c r="D8" s="9" t="n">
        <f aca="false">LEN(C8)</f>
        <v>16</v>
      </c>
      <c r="E8" s="9" t="n">
        <v>30</v>
      </c>
      <c r="F8" s="9" t="str">
        <f aca="false">IF(D8&lt;=E8,"OK","Сократить")</f>
        <v>OK</v>
      </c>
    </row>
    <row r="9" customFormat="false" ht="15" hidden="false" customHeight="false" outlineLevel="0" collapsed="false">
      <c r="A9" s="9" t="s">
        <v>51</v>
      </c>
      <c r="B9" s="9" t="s">
        <v>262</v>
      </c>
      <c r="C9" s="9" t="s">
        <v>157</v>
      </c>
      <c r="D9" s="9" t="n">
        <f aca="false">LEN(C9)</f>
        <v>25</v>
      </c>
      <c r="E9" s="9" t="n">
        <v>30</v>
      </c>
      <c r="F9" s="9" t="str">
        <f aca="false">IF(D9&lt;=E9,"OK","Сократить")</f>
        <v>OK</v>
      </c>
    </row>
    <row r="10" customFormat="false" ht="15" hidden="false" customHeight="false" outlineLevel="0" collapsed="false">
      <c r="A10" s="9" t="s">
        <v>51</v>
      </c>
      <c r="B10" s="9" t="s">
        <v>262</v>
      </c>
      <c r="C10" s="9" t="s">
        <v>158</v>
      </c>
      <c r="D10" s="9" t="n">
        <f aca="false">LEN(C10)</f>
        <v>20</v>
      </c>
      <c r="E10" s="9" t="n">
        <v>30</v>
      </c>
      <c r="F10" s="9" t="str">
        <f aca="false">IF(D10&lt;=E10,"OK","Сократить")</f>
        <v>OK</v>
      </c>
    </row>
    <row r="11" customFormat="false" ht="15" hidden="false" customHeight="false" outlineLevel="0" collapsed="false">
      <c r="A11" s="9" t="s">
        <v>51</v>
      </c>
      <c r="B11" s="9" t="s">
        <v>262</v>
      </c>
      <c r="C11" s="9" t="s">
        <v>159</v>
      </c>
      <c r="D11" s="9" t="n">
        <f aca="false">LEN(C11)</f>
        <v>28</v>
      </c>
      <c r="E11" s="9" t="n">
        <v>30</v>
      </c>
      <c r="F11" s="9" t="str">
        <f aca="false">IF(D11&lt;=E11,"OK","Сократить")</f>
        <v>OK</v>
      </c>
    </row>
    <row r="12" customFormat="false" ht="15" hidden="false" customHeight="false" outlineLevel="0" collapsed="false">
      <c r="A12" s="9" t="s">
        <v>51</v>
      </c>
      <c r="B12" s="9" t="s">
        <v>262</v>
      </c>
      <c r="C12" s="9" t="s">
        <v>160</v>
      </c>
      <c r="D12" s="9" t="n">
        <f aca="false">LEN(C12)</f>
        <v>22</v>
      </c>
      <c r="E12" s="9" t="n">
        <v>30</v>
      </c>
      <c r="F12" s="9" t="str">
        <f aca="false">IF(D12&lt;=E12,"OK","Сократить")</f>
        <v>OK</v>
      </c>
    </row>
    <row r="13" customFormat="false" ht="15" hidden="false" customHeight="false" outlineLevel="0" collapsed="false">
      <c r="A13" s="9" t="s">
        <v>51</v>
      </c>
      <c r="B13" s="9" t="s">
        <v>262</v>
      </c>
      <c r="C13" s="9" t="s">
        <v>161</v>
      </c>
      <c r="D13" s="9" t="n">
        <f aca="false">LEN(C13)</f>
        <v>19</v>
      </c>
      <c r="E13" s="9" t="n">
        <v>30</v>
      </c>
      <c r="F13" s="9" t="str">
        <f aca="false">IF(D13&lt;=E13,"OK","Сократить")</f>
        <v>OK</v>
      </c>
    </row>
    <row r="14" customFormat="false" ht="15" hidden="false" customHeight="false" outlineLevel="0" collapsed="false">
      <c r="A14" s="9" t="s">
        <v>51</v>
      </c>
      <c r="B14" s="9" t="s">
        <v>263</v>
      </c>
      <c r="C14" s="9" t="s">
        <v>162</v>
      </c>
      <c r="D14" s="9" t="n">
        <f aca="false">LEN(C14)</f>
        <v>81</v>
      </c>
      <c r="E14" s="9" t="n">
        <v>90</v>
      </c>
      <c r="F14" s="9" t="str">
        <f aca="false">IF(D14&lt;=E14,"OK","Сократить")</f>
        <v>OK</v>
      </c>
    </row>
    <row r="15" customFormat="false" ht="15" hidden="false" customHeight="false" outlineLevel="0" collapsed="false">
      <c r="A15" s="9" t="s">
        <v>51</v>
      </c>
      <c r="B15" s="9" t="s">
        <v>263</v>
      </c>
      <c r="C15" s="9" t="s">
        <v>163</v>
      </c>
      <c r="D15" s="9" t="n">
        <f aca="false">LEN(C15)</f>
        <v>77</v>
      </c>
      <c r="E15" s="9" t="n">
        <v>90</v>
      </c>
      <c r="F15" s="9" t="str">
        <f aca="false">IF(D15&lt;=E15,"OK","Сократить")</f>
        <v>OK</v>
      </c>
    </row>
    <row r="16" customFormat="false" ht="15" hidden="false" customHeight="false" outlineLevel="0" collapsed="false">
      <c r="A16" s="9" t="s">
        <v>51</v>
      </c>
      <c r="B16" s="9" t="s">
        <v>263</v>
      </c>
      <c r="C16" s="9" t="s">
        <v>164</v>
      </c>
      <c r="D16" s="9" t="n">
        <f aca="false">LEN(C16)</f>
        <v>71</v>
      </c>
      <c r="E16" s="9" t="n">
        <v>90</v>
      </c>
      <c r="F16" s="9" t="str">
        <f aca="false">IF(D16&lt;=E16,"OK","Сократить")</f>
        <v>OK</v>
      </c>
    </row>
    <row r="17" customFormat="false" ht="15" hidden="false" customHeight="false" outlineLevel="0" collapsed="false">
      <c r="A17" s="9" t="s">
        <v>51</v>
      </c>
      <c r="B17" s="9" t="s">
        <v>263</v>
      </c>
      <c r="C17" s="9" t="s">
        <v>165</v>
      </c>
      <c r="D17" s="9" t="n">
        <f aca="false">LEN(C17)</f>
        <v>72</v>
      </c>
      <c r="E17" s="9" t="n">
        <v>90</v>
      </c>
      <c r="F17" s="9" t="str">
        <f aca="false">IF(D17&lt;=E17,"OK","Сократить")</f>
        <v>OK</v>
      </c>
    </row>
    <row r="18" customFormat="false" ht="15" hidden="false" customHeight="false" outlineLevel="0" collapsed="false">
      <c r="A18" s="9" t="s">
        <v>66</v>
      </c>
      <c r="B18" s="9" t="s">
        <v>262</v>
      </c>
      <c r="C18" s="9" t="s">
        <v>168</v>
      </c>
      <c r="D18" s="9" t="n">
        <f aca="false">LEN(C18)</f>
        <v>15</v>
      </c>
      <c r="E18" s="9" t="n">
        <v>30</v>
      </c>
      <c r="F18" s="9" t="str">
        <f aca="false">IF(D18&lt;=E18,"OK","Сократить")</f>
        <v>OK</v>
      </c>
    </row>
    <row r="19" customFormat="false" ht="15" hidden="false" customHeight="false" outlineLevel="0" collapsed="false">
      <c r="A19" s="9" t="s">
        <v>66</v>
      </c>
      <c r="B19" s="9" t="s">
        <v>262</v>
      </c>
      <c r="C19" s="9" t="s">
        <v>169</v>
      </c>
      <c r="D19" s="9" t="n">
        <f aca="false">LEN(C19)</f>
        <v>25</v>
      </c>
      <c r="E19" s="9" t="n">
        <v>30</v>
      </c>
      <c r="F19" s="9" t="str">
        <f aca="false">IF(D19&lt;=E19,"OK","Сократить")</f>
        <v>OK</v>
      </c>
    </row>
    <row r="20" customFormat="false" ht="15" hidden="false" customHeight="false" outlineLevel="0" collapsed="false">
      <c r="A20" s="9" t="s">
        <v>66</v>
      </c>
      <c r="B20" s="9" t="s">
        <v>262</v>
      </c>
      <c r="C20" s="9" t="s">
        <v>170</v>
      </c>
      <c r="D20" s="9" t="n">
        <f aca="false">LEN(C20)</f>
        <v>18</v>
      </c>
      <c r="E20" s="9" t="n">
        <v>30</v>
      </c>
      <c r="F20" s="9" t="str">
        <f aca="false">IF(D20&lt;=E20,"OK","Сократить")</f>
        <v>OK</v>
      </c>
    </row>
    <row r="21" customFormat="false" ht="15" hidden="false" customHeight="false" outlineLevel="0" collapsed="false">
      <c r="A21" s="9" t="s">
        <v>66</v>
      </c>
      <c r="B21" s="9" t="s">
        <v>262</v>
      </c>
      <c r="C21" s="9" t="s">
        <v>171</v>
      </c>
      <c r="D21" s="9" t="n">
        <f aca="false">LEN(C21)</f>
        <v>23</v>
      </c>
      <c r="E21" s="9" t="n">
        <v>30</v>
      </c>
      <c r="F21" s="9" t="str">
        <f aca="false">IF(D21&lt;=E21,"OK","Сократить")</f>
        <v>OK</v>
      </c>
    </row>
    <row r="22" customFormat="false" ht="15" hidden="false" customHeight="false" outlineLevel="0" collapsed="false">
      <c r="A22" s="9" t="s">
        <v>66</v>
      </c>
      <c r="B22" s="9" t="s">
        <v>262</v>
      </c>
      <c r="C22" s="9" t="s">
        <v>172</v>
      </c>
      <c r="D22" s="9" t="n">
        <f aca="false">LEN(C22)</f>
        <v>19</v>
      </c>
      <c r="E22" s="9" t="n">
        <v>30</v>
      </c>
      <c r="F22" s="9" t="str">
        <f aca="false">IF(D22&lt;=E22,"OK","Сократить")</f>
        <v>OK</v>
      </c>
    </row>
    <row r="23" customFormat="false" ht="15" hidden="false" customHeight="false" outlineLevel="0" collapsed="false">
      <c r="A23" s="9" t="s">
        <v>66</v>
      </c>
      <c r="B23" s="9" t="s">
        <v>262</v>
      </c>
      <c r="C23" s="9" t="s">
        <v>155</v>
      </c>
      <c r="D23" s="9" t="n">
        <f aca="false">LEN(C23)</f>
        <v>19</v>
      </c>
      <c r="E23" s="9" t="n">
        <v>30</v>
      </c>
      <c r="F23" s="9" t="str">
        <f aca="false">IF(D23&lt;=E23,"OK","Сократить")</f>
        <v>OK</v>
      </c>
    </row>
    <row r="24" customFormat="false" ht="15" hidden="false" customHeight="false" outlineLevel="0" collapsed="false">
      <c r="A24" s="9" t="s">
        <v>66</v>
      </c>
      <c r="B24" s="9" t="s">
        <v>262</v>
      </c>
      <c r="C24" s="9" t="s">
        <v>156</v>
      </c>
      <c r="D24" s="9" t="n">
        <f aca="false">LEN(C24)</f>
        <v>16</v>
      </c>
      <c r="E24" s="9" t="n">
        <v>30</v>
      </c>
      <c r="F24" s="9" t="str">
        <f aca="false">IF(D24&lt;=E24,"OK","Сократить")</f>
        <v>OK</v>
      </c>
    </row>
    <row r="25" customFormat="false" ht="15" hidden="false" customHeight="false" outlineLevel="0" collapsed="false">
      <c r="A25" s="9" t="s">
        <v>66</v>
      </c>
      <c r="B25" s="9" t="s">
        <v>262</v>
      </c>
      <c r="C25" s="9" t="s">
        <v>157</v>
      </c>
      <c r="D25" s="9" t="n">
        <f aca="false">LEN(C25)</f>
        <v>25</v>
      </c>
      <c r="E25" s="9" t="n">
        <v>30</v>
      </c>
      <c r="F25" s="9" t="str">
        <f aca="false">IF(D25&lt;=E25,"OK","Сократить")</f>
        <v>OK</v>
      </c>
    </row>
    <row r="26" customFormat="false" ht="15" hidden="false" customHeight="false" outlineLevel="0" collapsed="false">
      <c r="A26" s="9" t="s">
        <v>66</v>
      </c>
      <c r="B26" s="9" t="s">
        <v>262</v>
      </c>
      <c r="C26" s="9" t="s">
        <v>158</v>
      </c>
      <c r="D26" s="9" t="n">
        <f aca="false">LEN(C26)</f>
        <v>20</v>
      </c>
      <c r="E26" s="9" t="n">
        <v>30</v>
      </c>
      <c r="F26" s="9" t="str">
        <f aca="false">IF(D26&lt;=E26,"OK","Сократить")</f>
        <v>OK</v>
      </c>
    </row>
    <row r="27" customFormat="false" ht="15" hidden="false" customHeight="false" outlineLevel="0" collapsed="false">
      <c r="A27" s="9" t="s">
        <v>66</v>
      </c>
      <c r="B27" s="9" t="s">
        <v>262</v>
      </c>
      <c r="C27" s="9" t="s">
        <v>173</v>
      </c>
      <c r="D27" s="9" t="n">
        <f aca="false">LEN(C27)</f>
        <v>23</v>
      </c>
      <c r="E27" s="9" t="n">
        <v>30</v>
      </c>
      <c r="F27" s="9" t="str">
        <f aca="false">IF(D27&lt;=E27,"OK","Сократить")</f>
        <v>OK</v>
      </c>
    </row>
    <row r="28" customFormat="false" ht="15" hidden="false" customHeight="false" outlineLevel="0" collapsed="false">
      <c r="A28" s="9" t="s">
        <v>66</v>
      </c>
      <c r="B28" s="9" t="s">
        <v>262</v>
      </c>
      <c r="C28" s="9" t="s">
        <v>174</v>
      </c>
      <c r="D28" s="9" t="n">
        <f aca="false">LEN(C28)</f>
        <v>15</v>
      </c>
      <c r="E28" s="9" t="n">
        <v>30</v>
      </c>
      <c r="F28" s="9" t="str">
        <f aca="false">IF(D28&lt;=E28,"OK","Сократить")</f>
        <v>OK</v>
      </c>
    </row>
    <row r="29" customFormat="false" ht="15" hidden="false" customHeight="false" outlineLevel="0" collapsed="false">
      <c r="A29" s="9" t="s">
        <v>66</v>
      </c>
      <c r="B29" s="9" t="s">
        <v>263</v>
      </c>
      <c r="C29" s="9" t="s">
        <v>175</v>
      </c>
      <c r="D29" s="9" t="n">
        <f aca="false">LEN(C29)</f>
        <v>72</v>
      </c>
      <c r="E29" s="9" t="n">
        <v>90</v>
      </c>
      <c r="F29" s="9" t="str">
        <f aca="false">IF(D29&lt;=E29,"OK","Сократить")</f>
        <v>OK</v>
      </c>
    </row>
    <row r="30" customFormat="false" ht="15" hidden="false" customHeight="false" outlineLevel="0" collapsed="false">
      <c r="A30" s="9" t="s">
        <v>66</v>
      </c>
      <c r="B30" s="9" t="s">
        <v>263</v>
      </c>
      <c r="C30" s="9" t="s">
        <v>176</v>
      </c>
      <c r="D30" s="9" t="n">
        <f aca="false">LEN(C30)</f>
        <v>77</v>
      </c>
      <c r="E30" s="9" t="n">
        <v>90</v>
      </c>
      <c r="F30" s="9" t="str">
        <f aca="false">IF(D30&lt;=E30,"OK","Сократить")</f>
        <v>OK</v>
      </c>
    </row>
    <row r="31" customFormat="false" ht="15" hidden="false" customHeight="false" outlineLevel="0" collapsed="false">
      <c r="A31" s="9" t="s">
        <v>66</v>
      </c>
      <c r="B31" s="9" t="s">
        <v>263</v>
      </c>
      <c r="C31" s="9" t="s">
        <v>177</v>
      </c>
      <c r="D31" s="9" t="n">
        <f aca="false">LEN(C31)</f>
        <v>73</v>
      </c>
      <c r="E31" s="9" t="n">
        <v>90</v>
      </c>
      <c r="F31" s="9" t="str">
        <f aca="false">IF(D31&lt;=E31,"OK","Сократить")</f>
        <v>OK</v>
      </c>
    </row>
    <row r="32" customFormat="false" ht="15" hidden="false" customHeight="false" outlineLevel="0" collapsed="false">
      <c r="A32" s="9" t="s">
        <v>66</v>
      </c>
      <c r="B32" s="9" t="s">
        <v>263</v>
      </c>
      <c r="C32" s="9" t="s">
        <v>178</v>
      </c>
      <c r="D32" s="9" t="n">
        <f aca="false">LEN(C32)</f>
        <v>76</v>
      </c>
      <c r="E32" s="9" t="n">
        <v>90</v>
      </c>
      <c r="F32" s="9" t="str">
        <f aca="false">IF(D32&lt;=E32,"OK","Сократить")</f>
        <v>OK</v>
      </c>
    </row>
    <row r="33" customFormat="false" ht="15" hidden="false" customHeight="false" outlineLevel="0" collapsed="false">
      <c r="A33" s="9" t="s">
        <v>76</v>
      </c>
      <c r="B33" s="9" t="s">
        <v>262</v>
      </c>
      <c r="C33" s="9" t="s">
        <v>180</v>
      </c>
      <c r="D33" s="9" t="n">
        <f aca="false">LEN(C33)</f>
        <v>24</v>
      </c>
      <c r="E33" s="9" t="n">
        <v>30</v>
      </c>
      <c r="F33" s="9" t="str">
        <f aca="false">IF(D33&lt;=E33,"OK","Сократить")</f>
        <v>OK</v>
      </c>
    </row>
    <row r="34" customFormat="false" ht="15" hidden="false" customHeight="false" outlineLevel="0" collapsed="false">
      <c r="A34" s="9" t="s">
        <v>76</v>
      </c>
      <c r="B34" s="9" t="s">
        <v>262</v>
      </c>
      <c r="C34" s="9" t="s">
        <v>181</v>
      </c>
      <c r="D34" s="9" t="n">
        <f aca="false">LEN(C34)</f>
        <v>26</v>
      </c>
      <c r="E34" s="9" t="n">
        <v>30</v>
      </c>
      <c r="F34" s="9" t="str">
        <f aca="false">IF(D34&lt;=E34,"OK","Сократить")</f>
        <v>OK</v>
      </c>
    </row>
    <row r="35" customFormat="false" ht="15" hidden="false" customHeight="false" outlineLevel="0" collapsed="false">
      <c r="A35" s="9" t="s">
        <v>76</v>
      </c>
      <c r="B35" s="9" t="s">
        <v>262</v>
      </c>
      <c r="C35" s="9" t="s">
        <v>182</v>
      </c>
      <c r="D35" s="9" t="n">
        <f aca="false">LEN(C35)</f>
        <v>24</v>
      </c>
      <c r="E35" s="9" t="n">
        <v>30</v>
      </c>
      <c r="F35" s="9" t="str">
        <f aca="false">IF(D35&lt;=E35,"OK","Сократить")</f>
        <v>OK</v>
      </c>
    </row>
    <row r="36" customFormat="false" ht="15" hidden="false" customHeight="false" outlineLevel="0" collapsed="false">
      <c r="A36" s="9" t="s">
        <v>76</v>
      </c>
      <c r="B36" s="9" t="s">
        <v>262</v>
      </c>
      <c r="C36" s="9" t="s">
        <v>183</v>
      </c>
      <c r="D36" s="9" t="n">
        <f aca="false">LEN(C36)</f>
        <v>24</v>
      </c>
      <c r="E36" s="9" t="n">
        <v>30</v>
      </c>
      <c r="F36" s="9" t="str">
        <f aca="false">IF(D36&lt;=E36,"OK","Сократить")</f>
        <v>OK</v>
      </c>
    </row>
    <row r="37" customFormat="false" ht="15" hidden="false" customHeight="false" outlineLevel="0" collapsed="false">
      <c r="A37" s="9" t="s">
        <v>76</v>
      </c>
      <c r="B37" s="9" t="s">
        <v>262</v>
      </c>
      <c r="C37" s="9" t="s">
        <v>184</v>
      </c>
      <c r="D37" s="9" t="n">
        <f aca="false">LEN(C37)</f>
        <v>22</v>
      </c>
      <c r="E37" s="9" t="n">
        <v>30</v>
      </c>
      <c r="F37" s="9" t="str">
        <f aca="false">IF(D37&lt;=E37,"OK","Сократить")</f>
        <v>OK</v>
      </c>
    </row>
    <row r="38" customFormat="false" ht="15" hidden="false" customHeight="false" outlineLevel="0" collapsed="false">
      <c r="A38" s="9" t="s">
        <v>76</v>
      </c>
      <c r="B38" s="9" t="s">
        <v>262</v>
      </c>
      <c r="C38" s="9" t="s">
        <v>155</v>
      </c>
      <c r="D38" s="9" t="n">
        <f aca="false">LEN(C38)</f>
        <v>19</v>
      </c>
      <c r="E38" s="9" t="n">
        <v>30</v>
      </c>
      <c r="F38" s="9" t="str">
        <f aca="false">IF(D38&lt;=E38,"OK","Сократить")</f>
        <v>OK</v>
      </c>
    </row>
    <row r="39" customFormat="false" ht="15" hidden="false" customHeight="false" outlineLevel="0" collapsed="false">
      <c r="A39" s="9" t="s">
        <v>76</v>
      </c>
      <c r="B39" s="9" t="s">
        <v>262</v>
      </c>
      <c r="C39" s="9" t="s">
        <v>156</v>
      </c>
      <c r="D39" s="9" t="n">
        <f aca="false">LEN(C39)</f>
        <v>16</v>
      </c>
      <c r="E39" s="9" t="n">
        <v>30</v>
      </c>
      <c r="F39" s="9" t="str">
        <f aca="false">IF(D39&lt;=E39,"OK","Сократить")</f>
        <v>OK</v>
      </c>
    </row>
    <row r="40" customFormat="false" ht="15" hidden="false" customHeight="false" outlineLevel="0" collapsed="false">
      <c r="A40" s="9" t="s">
        <v>76</v>
      </c>
      <c r="B40" s="9" t="s">
        <v>262</v>
      </c>
      <c r="C40" s="9" t="s">
        <v>157</v>
      </c>
      <c r="D40" s="9" t="n">
        <f aca="false">LEN(C40)</f>
        <v>25</v>
      </c>
      <c r="E40" s="9" t="n">
        <v>30</v>
      </c>
      <c r="F40" s="9" t="str">
        <f aca="false">IF(D40&lt;=E40,"OK","Сократить")</f>
        <v>OK</v>
      </c>
    </row>
    <row r="41" customFormat="false" ht="15" hidden="false" customHeight="false" outlineLevel="0" collapsed="false">
      <c r="A41" s="9" t="s">
        <v>76</v>
      </c>
      <c r="B41" s="9" t="s">
        <v>262</v>
      </c>
      <c r="C41" s="9" t="s">
        <v>158</v>
      </c>
      <c r="D41" s="9" t="n">
        <f aca="false">LEN(C41)</f>
        <v>20</v>
      </c>
      <c r="E41" s="9" t="n">
        <v>30</v>
      </c>
      <c r="F41" s="9" t="str">
        <f aca="false">IF(D41&lt;=E41,"OK","Сократить")</f>
        <v>OK</v>
      </c>
    </row>
    <row r="42" customFormat="false" ht="15" hidden="false" customHeight="false" outlineLevel="0" collapsed="false">
      <c r="A42" s="9" t="s">
        <v>76</v>
      </c>
      <c r="B42" s="9" t="s">
        <v>262</v>
      </c>
      <c r="C42" s="9" t="s">
        <v>185</v>
      </c>
      <c r="D42" s="9" t="n">
        <f aca="false">LEN(C42)</f>
        <v>15</v>
      </c>
      <c r="E42" s="9" t="n">
        <v>30</v>
      </c>
      <c r="F42" s="9" t="str">
        <f aca="false">IF(D42&lt;=E42,"OK","Сократить")</f>
        <v>OK</v>
      </c>
    </row>
    <row r="43" customFormat="false" ht="15" hidden="false" customHeight="false" outlineLevel="0" collapsed="false">
      <c r="A43" s="9" t="s">
        <v>76</v>
      </c>
      <c r="B43" s="9" t="s">
        <v>262</v>
      </c>
      <c r="C43" s="9" t="s">
        <v>186</v>
      </c>
      <c r="D43" s="9" t="n">
        <f aca="false">LEN(C43)</f>
        <v>24</v>
      </c>
      <c r="E43" s="9" t="n">
        <v>30</v>
      </c>
      <c r="F43" s="9" t="str">
        <f aca="false">IF(D43&lt;=E43,"OK","Сократить")</f>
        <v>OK</v>
      </c>
    </row>
    <row r="44" customFormat="false" ht="15" hidden="false" customHeight="false" outlineLevel="0" collapsed="false">
      <c r="A44" s="9" t="s">
        <v>76</v>
      </c>
      <c r="B44" s="9" t="s">
        <v>263</v>
      </c>
      <c r="C44" s="9" t="s">
        <v>187</v>
      </c>
      <c r="D44" s="9" t="n">
        <f aca="false">LEN(C44)</f>
        <v>77</v>
      </c>
      <c r="E44" s="9" t="n">
        <v>90</v>
      </c>
      <c r="F44" s="9" t="str">
        <f aca="false">IF(D44&lt;=E44,"OK","Сократить")</f>
        <v>OK</v>
      </c>
    </row>
    <row r="45" customFormat="false" ht="15" hidden="false" customHeight="false" outlineLevel="0" collapsed="false">
      <c r="A45" s="9" t="s">
        <v>76</v>
      </c>
      <c r="B45" s="9" t="s">
        <v>263</v>
      </c>
      <c r="C45" s="9" t="s">
        <v>188</v>
      </c>
      <c r="D45" s="9" t="n">
        <f aca="false">LEN(C45)</f>
        <v>66</v>
      </c>
      <c r="E45" s="9" t="n">
        <v>90</v>
      </c>
      <c r="F45" s="9" t="str">
        <f aca="false">IF(D45&lt;=E45,"OK","Сократить")</f>
        <v>OK</v>
      </c>
    </row>
    <row r="46" customFormat="false" ht="15" hidden="false" customHeight="false" outlineLevel="0" collapsed="false">
      <c r="A46" s="9" t="s">
        <v>76</v>
      </c>
      <c r="B46" s="9" t="s">
        <v>263</v>
      </c>
      <c r="C46" s="9" t="s">
        <v>189</v>
      </c>
      <c r="D46" s="9" t="n">
        <f aca="false">LEN(C46)</f>
        <v>70</v>
      </c>
      <c r="E46" s="9" t="n">
        <v>90</v>
      </c>
      <c r="F46" s="9" t="str">
        <f aca="false">IF(D46&lt;=E46,"OK","Сократить")</f>
        <v>OK</v>
      </c>
    </row>
    <row r="47" customFormat="false" ht="15" hidden="false" customHeight="false" outlineLevel="0" collapsed="false">
      <c r="A47" s="9" t="s">
        <v>76</v>
      </c>
      <c r="B47" s="9" t="s">
        <v>263</v>
      </c>
      <c r="C47" s="9" t="s">
        <v>190</v>
      </c>
      <c r="D47" s="9" t="n">
        <f aca="false">LEN(C47)</f>
        <v>70</v>
      </c>
      <c r="E47" s="9" t="n">
        <v>90</v>
      </c>
      <c r="F47" s="9" t="str">
        <f aca="false">IF(D47&lt;=E47,"OK","Сократить")</f>
        <v>OK</v>
      </c>
    </row>
    <row r="48" customFormat="false" ht="15" hidden="false" customHeight="false" outlineLevel="0" collapsed="false">
      <c r="A48" s="9" t="s">
        <v>85</v>
      </c>
      <c r="B48" s="9" t="s">
        <v>262</v>
      </c>
      <c r="C48" s="9" t="s">
        <v>192</v>
      </c>
      <c r="D48" s="9" t="n">
        <f aca="false">LEN(C48)</f>
        <v>19</v>
      </c>
      <c r="E48" s="9" t="n">
        <v>30</v>
      </c>
      <c r="F48" s="9" t="str">
        <f aca="false">IF(D48&lt;=E48,"OK","Сократить")</f>
        <v>OK</v>
      </c>
    </row>
    <row r="49" customFormat="false" ht="15" hidden="false" customHeight="false" outlineLevel="0" collapsed="false">
      <c r="A49" s="9" t="s">
        <v>85</v>
      </c>
      <c r="B49" s="9" t="s">
        <v>262</v>
      </c>
      <c r="C49" s="9" t="s">
        <v>193</v>
      </c>
      <c r="D49" s="9" t="n">
        <f aca="false">LEN(C49)</f>
        <v>20</v>
      </c>
      <c r="E49" s="9" t="n">
        <v>30</v>
      </c>
      <c r="F49" s="9" t="str">
        <f aca="false">IF(D49&lt;=E49,"OK","Сократить")</f>
        <v>OK</v>
      </c>
    </row>
    <row r="50" customFormat="false" ht="15" hidden="false" customHeight="false" outlineLevel="0" collapsed="false">
      <c r="A50" s="9" t="s">
        <v>85</v>
      </c>
      <c r="B50" s="9" t="s">
        <v>262</v>
      </c>
      <c r="C50" s="9" t="s">
        <v>194</v>
      </c>
      <c r="D50" s="9" t="n">
        <f aca="false">LEN(C50)</f>
        <v>25</v>
      </c>
      <c r="E50" s="9" t="n">
        <v>30</v>
      </c>
      <c r="F50" s="9" t="str">
        <f aca="false">IF(D50&lt;=E50,"OK","Сократить")</f>
        <v>OK</v>
      </c>
    </row>
    <row r="51" customFormat="false" ht="15" hidden="false" customHeight="false" outlineLevel="0" collapsed="false">
      <c r="A51" s="9" t="s">
        <v>85</v>
      </c>
      <c r="B51" s="9" t="s">
        <v>262</v>
      </c>
      <c r="C51" s="9" t="s">
        <v>195</v>
      </c>
      <c r="D51" s="9" t="n">
        <f aca="false">LEN(C51)</f>
        <v>16</v>
      </c>
      <c r="E51" s="9" t="n">
        <v>30</v>
      </c>
      <c r="F51" s="9" t="str">
        <f aca="false">IF(D51&lt;=E51,"OK","Сократить")</f>
        <v>OK</v>
      </c>
    </row>
    <row r="52" customFormat="false" ht="15" hidden="false" customHeight="false" outlineLevel="0" collapsed="false">
      <c r="A52" s="9" t="s">
        <v>85</v>
      </c>
      <c r="B52" s="9" t="s">
        <v>262</v>
      </c>
      <c r="C52" s="9" t="s">
        <v>196</v>
      </c>
      <c r="D52" s="9" t="n">
        <f aca="false">LEN(C52)</f>
        <v>23</v>
      </c>
      <c r="E52" s="9" t="n">
        <v>30</v>
      </c>
      <c r="F52" s="9" t="str">
        <f aca="false">IF(D52&lt;=E52,"OK","Сократить")</f>
        <v>OK</v>
      </c>
    </row>
    <row r="53" customFormat="false" ht="15" hidden="false" customHeight="false" outlineLevel="0" collapsed="false">
      <c r="A53" s="9" t="s">
        <v>85</v>
      </c>
      <c r="B53" s="9" t="s">
        <v>262</v>
      </c>
      <c r="C53" s="9" t="s">
        <v>155</v>
      </c>
      <c r="D53" s="9" t="n">
        <f aca="false">LEN(C53)</f>
        <v>19</v>
      </c>
      <c r="E53" s="9" t="n">
        <v>30</v>
      </c>
      <c r="F53" s="9" t="str">
        <f aca="false">IF(D53&lt;=E53,"OK","Сократить")</f>
        <v>OK</v>
      </c>
    </row>
    <row r="54" customFormat="false" ht="15" hidden="false" customHeight="false" outlineLevel="0" collapsed="false">
      <c r="A54" s="9" t="s">
        <v>85</v>
      </c>
      <c r="B54" s="9" t="s">
        <v>262</v>
      </c>
      <c r="C54" s="9" t="s">
        <v>156</v>
      </c>
      <c r="D54" s="9" t="n">
        <f aca="false">LEN(C54)</f>
        <v>16</v>
      </c>
      <c r="E54" s="9" t="n">
        <v>30</v>
      </c>
      <c r="F54" s="9" t="str">
        <f aca="false">IF(D54&lt;=E54,"OK","Сократить")</f>
        <v>OK</v>
      </c>
    </row>
    <row r="55" customFormat="false" ht="15" hidden="false" customHeight="false" outlineLevel="0" collapsed="false">
      <c r="A55" s="9" t="s">
        <v>85</v>
      </c>
      <c r="B55" s="9" t="s">
        <v>262</v>
      </c>
      <c r="C55" s="9" t="s">
        <v>197</v>
      </c>
      <c r="D55" s="9" t="n">
        <f aca="false">LEN(C55)</f>
        <v>18</v>
      </c>
      <c r="E55" s="9" t="n">
        <v>30</v>
      </c>
      <c r="F55" s="9" t="str">
        <f aca="false">IF(D55&lt;=E55,"OK","Сократить")</f>
        <v>OK</v>
      </c>
    </row>
    <row r="56" customFormat="false" ht="15" hidden="false" customHeight="false" outlineLevel="0" collapsed="false">
      <c r="A56" s="9" t="s">
        <v>85</v>
      </c>
      <c r="B56" s="9" t="s">
        <v>262</v>
      </c>
      <c r="C56" s="9" t="s">
        <v>198</v>
      </c>
      <c r="D56" s="9" t="n">
        <f aca="false">LEN(C56)</f>
        <v>23</v>
      </c>
      <c r="E56" s="9" t="n">
        <v>30</v>
      </c>
      <c r="F56" s="9" t="str">
        <f aca="false">IF(D56&lt;=E56,"OK","Сократить")</f>
        <v>OK</v>
      </c>
    </row>
    <row r="57" customFormat="false" ht="15" hidden="false" customHeight="false" outlineLevel="0" collapsed="false">
      <c r="A57" s="9" t="s">
        <v>85</v>
      </c>
      <c r="B57" s="9" t="s">
        <v>262</v>
      </c>
      <c r="C57" s="9" t="s">
        <v>199</v>
      </c>
      <c r="D57" s="9" t="n">
        <f aca="false">LEN(C57)</f>
        <v>24</v>
      </c>
      <c r="E57" s="9" t="n">
        <v>30</v>
      </c>
      <c r="F57" s="9" t="str">
        <f aca="false">IF(D57&lt;=E57,"OK","Сократить")</f>
        <v>OK</v>
      </c>
    </row>
    <row r="58" customFormat="false" ht="15" hidden="false" customHeight="false" outlineLevel="0" collapsed="false">
      <c r="A58" s="9" t="s">
        <v>85</v>
      </c>
      <c r="B58" s="9" t="s">
        <v>263</v>
      </c>
      <c r="C58" s="9" t="s">
        <v>200</v>
      </c>
      <c r="D58" s="9" t="n">
        <f aca="false">LEN(C58)</f>
        <v>72</v>
      </c>
      <c r="E58" s="9" t="n">
        <v>90</v>
      </c>
      <c r="F58" s="9" t="str">
        <f aca="false">IF(D58&lt;=E58,"OK","Сократить")</f>
        <v>OK</v>
      </c>
    </row>
    <row r="59" customFormat="false" ht="15" hidden="false" customHeight="false" outlineLevel="0" collapsed="false">
      <c r="A59" s="9" t="s">
        <v>85</v>
      </c>
      <c r="B59" s="9" t="s">
        <v>263</v>
      </c>
      <c r="C59" s="9" t="s">
        <v>201</v>
      </c>
      <c r="D59" s="9" t="n">
        <f aca="false">LEN(C59)</f>
        <v>64</v>
      </c>
      <c r="E59" s="9" t="n">
        <v>90</v>
      </c>
      <c r="F59" s="9" t="str">
        <f aca="false">IF(D59&lt;=E59,"OK","Сократить")</f>
        <v>OK</v>
      </c>
    </row>
    <row r="60" customFormat="false" ht="15" hidden="false" customHeight="false" outlineLevel="0" collapsed="false">
      <c r="A60" s="9" t="s">
        <v>85</v>
      </c>
      <c r="B60" s="9" t="s">
        <v>263</v>
      </c>
      <c r="C60" s="9" t="s">
        <v>202</v>
      </c>
      <c r="D60" s="9" t="n">
        <f aca="false">LEN(C60)</f>
        <v>73</v>
      </c>
      <c r="E60" s="9" t="n">
        <v>90</v>
      </c>
      <c r="F60" s="9" t="str">
        <f aca="false">IF(D60&lt;=E60,"OK","Сократить")</f>
        <v>OK</v>
      </c>
    </row>
    <row r="61" customFormat="false" ht="15" hidden="false" customHeight="false" outlineLevel="0" collapsed="false">
      <c r="A61" s="9" t="s">
        <v>85</v>
      </c>
      <c r="B61" s="9" t="s">
        <v>263</v>
      </c>
      <c r="C61" s="9" t="s">
        <v>203</v>
      </c>
      <c r="D61" s="9" t="n">
        <f aca="false">LEN(C61)</f>
        <v>72</v>
      </c>
      <c r="E61" s="9" t="n">
        <v>90</v>
      </c>
      <c r="F61" s="9" t="str">
        <f aca="false">IF(D61&lt;=E61,"OK","Сократить")</f>
        <v>OK</v>
      </c>
    </row>
    <row r="62" customFormat="false" ht="15" hidden="false" customHeight="false" outlineLevel="0" collapsed="false">
      <c r="A62" s="9" t="s">
        <v>93</v>
      </c>
      <c r="B62" s="9" t="s">
        <v>262</v>
      </c>
      <c r="C62" s="9" t="s">
        <v>205</v>
      </c>
      <c r="D62" s="9" t="n">
        <f aca="false">LEN(C62)</f>
        <v>20</v>
      </c>
      <c r="E62" s="9" t="n">
        <v>30</v>
      </c>
      <c r="F62" s="9" t="str">
        <f aca="false">IF(D62&lt;=E62,"OK","Сократить")</f>
        <v>OK</v>
      </c>
    </row>
    <row r="63" customFormat="false" ht="15" hidden="false" customHeight="false" outlineLevel="0" collapsed="false">
      <c r="A63" s="9" t="s">
        <v>93</v>
      </c>
      <c r="B63" s="9" t="s">
        <v>262</v>
      </c>
      <c r="C63" s="9" t="s">
        <v>206</v>
      </c>
      <c r="D63" s="9" t="n">
        <f aca="false">LEN(C63)</f>
        <v>26</v>
      </c>
      <c r="E63" s="9" t="n">
        <v>30</v>
      </c>
      <c r="F63" s="9" t="str">
        <f aca="false">IF(D63&lt;=E63,"OK","Сократить")</f>
        <v>OK</v>
      </c>
    </row>
    <row r="64" customFormat="false" ht="15" hidden="false" customHeight="false" outlineLevel="0" collapsed="false">
      <c r="A64" s="9" t="s">
        <v>93</v>
      </c>
      <c r="B64" s="9" t="s">
        <v>262</v>
      </c>
      <c r="C64" s="9" t="s">
        <v>207</v>
      </c>
      <c r="D64" s="9" t="n">
        <f aca="false">LEN(C64)</f>
        <v>27</v>
      </c>
      <c r="E64" s="9" t="n">
        <v>30</v>
      </c>
      <c r="F64" s="9" t="str">
        <f aca="false">IF(D64&lt;=E64,"OK","Сократить")</f>
        <v>OK</v>
      </c>
    </row>
    <row r="65" customFormat="false" ht="15" hidden="false" customHeight="false" outlineLevel="0" collapsed="false">
      <c r="A65" s="9" t="s">
        <v>93</v>
      </c>
      <c r="B65" s="9" t="s">
        <v>262</v>
      </c>
      <c r="C65" s="9" t="s">
        <v>208</v>
      </c>
      <c r="D65" s="9" t="n">
        <f aca="false">LEN(C65)</f>
        <v>26</v>
      </c>
      <c r="E65" s="9" t="n">
        <v>30</v>
      </c>
      <c r="F65" s="9" t="str">
        <f aca="false">IF(D65&lt;=E65,"OK","Сократить")</f>
        <v>OK</v>
      </c>
    </row>
    <row r="66" customFormat="false" ht="15" hidden="false" customHeight="false" outlineLevel="0" collapsed="false">
      <c r="A66" s="9" t="s">
        <v>93</v>
      </c>
      <c r="B66" s="9" t="s">
        <v>262</v>
      </c>
      <c r="C66" s="9" t="s">
        <v>209</v>
      </c>
      <c r="D66" s="9" t="n">
        <f aca="false">LEN(C66)</f>
        <v>21</v>
      </c>
      <c r="E66" s="9" t="n">
        <v>30</v>
      </c>
      <c r="F66" s="9" t="str">
        <f aca="false">IF(D66&lt;=E66,"OK","Сократить")</f>
        <v>OK</v>
      </c>
    </row>
    <row r="67" customFormat="false" ht="15" hidden="false" customHeight="false" outlineLevel="0" collapsed="false">
      <c r="A67" s="9" t="s">
        <v>93</v>
      </c>
      <c r="B67" s="9" t="s">
        <v>262</v>
      </c>
      <c r="C67" s="9" t="s">
        <v>155</v>
      </c>
      <c r="D67" s="9" t="n">
        <f aca="false">LEN(C67)</f>
        <v>19</v>
      </c>
      <c r="E67" s="9" t="n">
        <v>30</v>
      </c>
      <c r="F67" s="9" t="str">
        <f aca="false">IF(D67&lt;=E67,"OK","Сократить")</f>
        <v>OK</v>
      </c>
    </row>
    <row r="68" customFormat="false" ht="15" hidden="false" customHeight="false" outlineLevel="0" collapsed="false">
      <c r="A68" s="9" t="s">
        <v>93</v>
      </c>
      <c r="B68" s="9" t="s">
        <v>262</v>
      </c>
      <c r="C68" s="9" t="s">
        <v>156</v>
      </c>
      <c r="D68" s="9" t="n">
        <f aca="false">LEN(C68)</f>
        <v>16</v>
      </c>
      <c r="E68" s="9" t="n">
        <v>30</v>
      </c>
      <c r="F68" s="9" t="str">
        <f aca="false">IF(D68&lt;=E68,"OK","Сократить")</f>
        <v>OK</v>
      </c>
    </row>
    <row r="69" customFormat="false" ht="15" hidden="false" customHeight="false" outlineLevel="0" collapsed="false">
      <c r="A69" s="9" t="s">
        <v>93</v>
      </c>
      <c r="B69" s="9" t="s">
        <v>262</v>
      </c>
      <c r="C69" s="9" t="s">
        <v>157</v>
      </c>
      <c r="D69" s="9" t="n">
        <f aca="false">LEN(C69)</f>
        <v>25</v>
      </c>
      <c r="E69" s="9" t="n">
        <v>30</v>
      </c>
      <c r="F69" s="9" t="str">
        <f aca="false">IF(D69&lt;=E69,"OK","Сократить")</f>
        <v>OK</v>
      </c>
    </row>
    <row r="70" customFormat="false" ht="15" hidden="false" customHeight="false" outlineLevel="0" collapsed="false">
      <c r="A70" s="9" t="s">
        <v>93</v>
      </c>
      <c r="B70" s="9" t="s">
        <v>262</v>
      </c>
      <c r="C70" s="9" t="s">
        <v>158</v>
      </c>
      <c r="D70" s="9" t="n">
        <f aca="false">LEN(C70)</f>
        <v>20</v>
      </c>
      <c r="E70" s="9" t="n">
        <v>30</v>
      </c>
      <c r="F70" s="9" t="str">
        <f aca="false">IF(D70&lt;=E70,"OK","Сократить")</f>
        <v>OK</v>
      </c>
    </row>
    <row r="71" customFormat="false" ht="15" hidden="false" customHeight="false" outlineLevel="0" collapsed="false">
      <c r="A71" s="9" t="s">
        <v>93</v>
      </c>
      <c r="B71" s="9" t="s">
        <v>262</v>
      </c>
      <c r="C71" s="9" t="s">
        <v>210</v>
      </c>
      <c r="D71" s="9" t="n">
        <f aca="false">LEN(C71)</f>
        <v>18</v>
      </c>
      <c r="E71" s="9" t="n">
        <v>30</v>
      </c>
      <c r="F71" s="9" t="str">
        <f aca="false">IF(D71&lt;=E71,"OK","Сократить")</f>
        <v>OK</v>
      </c>
    </row>
    <row r="72" customFormat="false" ht="15" hidden="false" customHeight="false" outlineLevel="0" collapsed="false">
      <c r="A72" s="9" t="s">
        <v>93</v>
      </c>
      <c r="B72" s="9" t="s">
        <v>262</v>
      </c>
      <c r="C72" s="9" t="s">
        <v>211</v>
      </c>
      <c r="D72" s="9" t="n">
        <f aca="false">LEN(C72)</f>
        <v>25</v>
      </c>
      <c r="E72" s="9" t="n">
        <v>30</v>
      </c>
      <c r="F72" s="9" t="str">
        <f aca="false">IF(D72&lt;=E72,"OK","Сократить")</f>
        <v>OK</v>
      </c>
    </row>
    <row r="73" customFormat="false" ht="15" hidden="false" customHeight="false" outlineLevel="0" collapsed="false">
      <c r="A73" s="9" t="s">
        <v>93</v>
      </c>
      <c r="B73" s="9" t="s">
        <v>263</v>
      </c>
      <c r="C73" s="9" t="s">
        <v>212</v>
      </c>
      <c r="D73" s="9" t="n">
        <f aca="false">LEN(C73)</f>
        <v>75</v>
      </c>
      <c r="E73" s="9" t="n">
        <v>90</v>
      </c>
      <c r="F73" s="9" t="str">
        <f aca="false">IF(D73&lt;=E73,"OK","Сократить")</f>
        <v>OK</v>
      </c>
    </row>
    <row r="74" customFormat="false" ht="15" hidden="false" customHeight="false" outlineLevel="0" collapsed="false">
      <c r="A74" s="9" t="s">
        <v>93</v>
      </c>
      <c r="B74" s="9" t="s">
        <v>263</v>
      </c>
      <c r="C74" s="9" t="s">
        <v>213</v>
      </c>
      <c r="D74" s="9" t="n">
        <f aca="false">LEN(C74)</f>
        <v>73</v>
      </c>
      <c r="E74" s="9" t="n">
        <v>90</v>
      </c>
      <c r="F74" s="9" t="str">
        <f aca="false">IF(D74&lt;=E74,"OK","Сократить")</f>
        <v>OK</v>
      </c>
    </row>
    <row r="75" customFormat="false" ht="15" hidden="false" customHeight="false" outlineLevel="0" collapsed="false">
      <c r="A75" s="9" t="s">
        <v>93</v>
      </c>
      <c r="B75" s="9" t="s">
        <v>263</v>
      </c>
      <c r="C75" s="9" t="s">
        <v>214</v>
      </c>
      <c r="D75" s="9" t="n">
        <f aca="false">LEN(C75)</f>
        <v>73</v>
      </c>
      <c r="E75" s="9" t="n">
        <v>90</v>
      </c>
      <c r="F75" s="9" t="str">
        <f aca="false">IF(D75&lt;=E75,"OK","Сократить")</f>
        <v>OK</v>
      </c>
    </row>
    <row r="76" customFormat="false" ht="15" hidden="false" customHeight="false" outlineLevel="0" collapsed="false">
      <c r="A76" s="9" t="s">
        <v>93</v>
      </c>
      <c r="B76" s="9" t="s">
        <v>263</v>
      </c>
      <c r="C76" s="9" t="s">
        <v>215</v>
      </c>
      <c r="D76" s="9" t="n">
        <f aca="false">LEN(C76)</f>
        <v>75</v>
      </c>
      <c r="E76" s="9" t="n">
        <v>90</v>
      </c>
      <c r="F76" s="9" t="str">
        <f aca="false">IF(D76&lt;=E76,"OK","Сократить")</f>
        <v>OK</v>
      </c>
    </row>
    <row r="77" customFormat="false" ht="15" hidden="false" customHeight="false" outlineLevel="0" collapsed="false">
      <c r="A77" s="9" t="s">
        <v>100</v>
      </c>
      <c r="B77" s="9" t="s">
        <v>262</v>
      </c>
      <c r="C77" s="9" t="s">
        <v>217</v>
      </c>
      <c r="D77" s="9" t="n">
        <f aca="false">LEN(C77)</f>
        <v>23</v>
      </c>
      <c r="E77" s="9" t="n">
        <v>30</v>
      </c>
      <c r="F77" s="9" t="str">
        <f aca="false">IF(D77&lt;=E77,"OK","Сократить")</f>
        <v>OK</v>
      </c>
    </row>
    <row r="78" customFormat="false" ht="15" hidden="false" customHeight="false" outlineLevel="0" collapsed="false">
      <c r="A78" s="9" t="s">
        <v>100</v>
      </c>
      <c r="B78" s="9" t="s">
        <v>262</v>
      </c>
      <c r="C78" s="9" t="s">
        <v>218</v>
      </c>
      <c r="D78" s="9" t="n">
        <f aca="false">LEN(C78)</f>
        <v>18</v>
      </c>
      <c r="E78" s="9" t="n">
        <v>30</v>
      </c>
      <c r="F78" s="9" t="str">
        <f aca="false">IF(D78&lt;=E78,"OK","Сократить")</f>
        <v>OK</v>
      </c>
    </row>
    <row r="79" customFormat="false" ht="15" hidden="false" customHeight="false" outlineLevel="0" collapsed="false">
      <c r="A79" s="9" t="s">
        <v>100</v>
      </c>
      <c r="B79" s="9" t="s">
        <v>262</v>
      </c>
      <c r="C79" s="9" t="s">
        <v>219</v>
      </c>
      <c r="D79" s="9" t="n">
        <f aca="false">LEN(C79)</f>
        <v>20</v>
      </c>
      <c r="E79" s="9" t="n">
        <v>30</v>
      </c>
      <c r="F79" s="9" t="str">
        <f aca="false">IF(D79&lt;=E79,"OK","Сократить")</f>
        <v>OK</v>
      </c>
    </row>
    <row r="80" customFormat="false" ht="15" hidden="false" customHeight="false" outlineLevel="0" collapsed="false">
      <c r="A80" s="9" t="s">
        <v>100</v>
      </c>
      <c r="B80" s="9" t="s">
        <v>262</v>
      </c>
      <c r="C80" s="9" t="s">
        <v>220</v>
      </c>
      <c r="D80" s="9" t="n">
        <f aca="false">LEN(C80)</f>
        <v>21</v>
      </c>
      <c r="E80" s="9" t="n">
        <v>30</v>
      </c>
      <c r="F80" s="9" t="str">
        <f aca="false">IF(D80&lt;=E80,"OK","Сократить")</f>
        <v>OK</v>
      </c>
    </row>
    <row r="81" customFormat="false" ht="15" hidden="false" customHeight="false" outlineLevel="0" collapsed="false">
      <c r="A81" s="9" t="s">
        <v>100</v>
      </c>
      <c r="B81" s="9" t="s">
        <v>262</v>
      </c>
      <c r="C81" s="9" t="s">
        <v>221</v>
      </c>
      <c r="D81" s="9" t="n">
        <f aca="false">LEN(C81)</f>
        <v>17</v>
      </c>
      <c r="E81" s="9" t="n">
        <v>30</v>
      </c>
      <c r="F81" s="9" t="str">
        <f aca="false">IF(D81&lt;=E81,"OK","Сократить")</f>
        <v>OK</v>
      </c>
    </row>
    <row r="82" customFormat="false" ht="15" hidden="false" customHeight="false" outlineLevel="0" collapsed="false">
      <c r="A82" s="9" t="s">
        <v>100</v>
      </c>
      <c r="B82" s="9" t="s">
        <v>262</v>
      </c>
      <c r="C82" s="9" t="s">
        <v>155</v>
      </c>
      <c r="D82" s="9" t="n">
        <f aca="false">LEN(C82)</f>
        <v>19</v>
      </c>
      <c r="E82" s="9" t="n">
        <v>30</v>
      </c>
      <c r="F82" s="9" t="str">
        <f aca="false">IF(D82&lt;=E82,"OK","Сократить")</f>
        <v>OK</v>
      </c>
    </row>
    <row r="83" customFormat="false" ht="15" hidden="false" customHeight="false" outlineLevel="0" collapsed="false">
      <c r="A83" s="9" t="s">
        <v>100</v>
      </c>
      <c r="B83" s="9" t="s">
        <v>262</v>
      </c>
      <c r="C83" s="9" t="s">
        <v>156</v>
      </c>
      <c r="D83" s="9" t="n">
        <f aca="false">LEN(C83)</f>
        <v>16</v>
      </c>
      <c r="E83" s="9" t="n">
        <v>30</v>
      </c>
      <c r="F83" s="9" t="str">
        <f aca="false">IF(D83&lt;=E83,"OK","Сократить")</f>
        <v>OK</v>
      </c>
    </row>
    <row r="84" customFormat="false" ht="15" hidden="false" customHeight="false" outlineLevel="0" collapsed="false">
      <c r="A84" s="9" t="s">
        <v>100</v>
      </c>
      <c r="B84" s="9" t="s">
        <v>262</v>
      </c>
      <c r="C84" s="9" t="s">
        <v>157</v>
      </c>
      <c r="D84" s="9" t="n">
        <f aca="false">LEN(C84)</f>
        <v>25</v>
      </c>
      <c r="E84" s="9" t="n">
        <v>30</v>
      </c>
      <c r="F84" s="9" t="str">
        <f aca="false">IF(D84&lt;=E84,"OK","Сократить")</f>
        <v>OK</v>
      </c>
    </row>
    <row r="85" customFormat="false" ht="15" hidden="false" customHeight="false" outlineLevel="0" collapsed="false">
      <c r="A85" s="9" t="s">
        <v>100</v>
      </c>
      <c r="B85" s="9" t="s">
        <v>262</v>
      </c>
      <c r="C85" s="9" t="s">
        <v>158</v>
      </c>
      <c r="D85" s="9" t="n">
        <f aca="false">LEN(C85)</f>
        <v>20</v>
      </c>
      <c r="E85" s="9" t="n">
        <v>30</v>
      </c>
      <c r="F85" s="9" t="str">
        <f aca="false">IF(D85&lt;=E85,"OK","Сократить")</f>
        <v>OK</v>
      </c>
    </row>
    <row r="86" customFormat="false" ht="15" hidden="false" customHeight="false" outlineLevel="0" collapsed="false">
      <c r="A86" s="9" t="s">
        <v>100</v>
      </c>
      <c r="B86" s="9" t="s">
        <v>262</v>
      </c>
      <c r="C86" s="9" t="s">
        <v>197</v>
      </c>
      <c r="D86" s="9" t="n">
        <f aca="false">LEN(C86)</f>
        <v>18</v>
      </c>
      <c r="E86" s="9" t="n">
        <v>30</v>
      </c>
      <c r="F86" s="9" t="str">
        <f aca="false">IF(D86&lt;=E86,"OK","Сократить")</f>
        <v>OK</v>
      </c>
    </row>
    <row r="87" customFormat="false" ht="15" hidden="false" customHeight="false" outlineLevel="0" collapsed="false">
      <c r="A87" s="9" t="s">
        <v>100</v>
      </c>
      <c r="B87" s="9" t="s">
        <v>262</v>
      </c>
      <c r="C87" s="9" t="s">
        <v>222</v>
      </c>
      <c r="D87" s="9" t="n">
        <f aca="false">LEN(C87)</f>
        <v>25</v>
      </c>
      <c r="E87" s="9" t="n">
        <v>30</v>
      </c>
      <c r="F87" s="9" t="str">
        <f aca="false">IF(D87&lt;=E87,"OK","Сократить")</f>
        <v>OK</v>
      </c>
    </row>
    <row r="88" customFormat="false" ht="15" hidden="false" customHeight="false" outlineLevel="0" collapsed="false">
      <c r="A88" s="9" t="s">
        <v>100</v>
      </c>
      <c r="B88" s="9" t="s">
        <v>263</v>
      </c>
      <c r="C88" s="9" t="s">
        <v>223</v>
      </c>
      <c r="D88" s="9" t="n">
        <f aca="false">LEN(C88)</f>
        <v>71</v>
      </c>
      <c r="E88" s="9" t="n">
        <v>90</v>
      </c>
      <c r="F88" s="9" t="str">
        <f aca="false">IF(D88&lt;=E88,"OK","Сократить")</f>
        <v>OK</v>
      </c>
    </row>
    <row r="89" customFormat="false" ht="15" hidden="false" customHeight="false" outlineLevel="0" collapsed="false">
      <c r="A89" s="9" t="s">
        <v>100</v>
      </c>
      <c r="B89" s="9" t="s">
        <v>263</v>
      </c>
      <c r="C89" s="9" t="s">
        <v>224</v>
      </c>
      <c r="D89" s="9" t="n">
        <f aca="false">LEN(C89)</f>
        <v>64</v>
      </c>
      <c r="E89" s="9" t="n">
        <v>90</v>
      </c>
      <c r="F89" s="9" t="str">
        <f aca="false">IF(D89&lt;=E89,"OK","Сократить")</f>
        <v>OK</v>
      </c>
    </row>
    <row r="90" customFormat="false" ht="15" hidden="false" customHeight="false" outlineLevel="0" collapsed="false">
      <c r="A90" s="9" t="s">
        <v>100</v>
      </c>
      <c r="B90" s="9" t="s">
        <v>263</v>
      </c>
      <c r="C90" s="9" t="s">
        <v>225</v>
      </c>
      <c r="D90" s="9" t="n">
        <f aca="false">LEN(C90)</f>
        <v>59</v>
      </c>
      <c r="E90" s="9" t="n">
        <v>90</v>
      </c>
      <c r="F90" s="9" t="str">
        <f aca="false">IF(D90&lt;=E90,"OK","Сократить")</f>
        <v>OK</v>
      </c>
    </row>
    <row r="91" customFormat="false" ht="15" hidden="false" customHeight="false" outlineLevel="0" collapsed="false">
      <c r="A91" s="9" t="s">
        <v>100</v>
      </c>
      <c r="B91" s="9" t="s">
        <v>263</v>
      </c>
      <c r="C91" s="9" t="s">
        <v>226</v>
      </c>
      <c r="D91" s="9" t="n">
        <f aca="false">LEN(C91)</f>
        <v>63</v>
      </c>
      <c r="E91" s="9" t="n">
        <v>90</v>
      </c>
      <c r="F91" s="9" t="str">
        <f aca="false">IF(D91&lt;=E91,"OK","Сократить")</f>
        <v>OK</v>
      </c>
    </row>
    <row r="92" customFormat="false" ht="15" hidden="false" customHeight="false" outlineLevel="0" collapsed="false">
      <c r="A92" s="9" t="s">
        <v>108</v>
      </c>
      <c r="B92" s="9" t="s">
        <v>262</v>
      </c>
      <c r="C92" s="9" t="s">
        <v>108</v>
      </c>
      <c r="D92" s="9" t="n">
        <f aca="false">LEN(C92)</f>
        <v>18</v>
      </c>
      <c r="E92" s="9" t="n">
        <v>30</v>
      </c>
      <c r="F92" s="9" t="str">
        <f aca="false">IF(D92&lt;=E92,"OK","Сократить")</f>
        <v>OK</v>
      </c>
    </row>
    <row r="93" customFormat="false" ht="15" hidden="false" customHeight="false" outlineLevel="0" collapsed="false">
      <c r="A93" s="9" t="s">
        <v>108</v>
      </c>
      <c r="B93" s="9" t="s">
        <v>262</v>
      </c>
      <c r="C93" s="9" t="s">
        <v>228</v>
      </c>
      <c r="D93" s="9" t="n">
        <f aca="false">LEN(C93)</f>
        <v>20</v>
      </c>
      <c r="E93" s="9" t="n">
        <v>30</v>
      </c>
      <c r="F93" s="9" t="str">
        <f aca="false">IF(D93&lt;=E93,"OK","Сократить")</f>
        <v>OK</v>
      </c>
    </row>
    <row r="94" customFormat="false" ht="15" hidden="false" customHeight="false" outlineLevel="0" collapsed="false">
      <c r="A94" s="9" t="s">
        <v>108</v>
      </c>
      <c r="B94" s="9" t="s">
        <v>262</v>
      </c>
      <c r="C94" s="9" t="s">
        <v>229</v>
      </c>
      <c r="D94" s="9" t="n">
        <f aca="false">LEN(C94)</f>
        <v>24</v>
      </c>
      <c r="E94" s="9" t="n">
        <v>30</v>
      </c>
      <c r="F94" s="9" t="str">
        <f aca="false">IF(D94&lt;=E94,"OK","Сократить")</f>
        <v>OK</v>
      </c>
    </row>
    <row r="95" customFormat="false" ht="15" hidden="false" customHeight="false" outlineLevel="0" collapsed="false">
      <c r="A95" s="9" t="s">
        <v>108</v>
      </c>
      <c r="B95" s="9" t="s">
        <v>262</v>
      </c>
      <c r="C95" s="9" t="s">
        <v>230</v>
      </c>
      <c r="D95" s="9" t="n">
        <f aca="false">LEN(C95)</f>
        <v>18</v>
      </c>
      <c r="E95" s="9" t="n">
        <v>30</v>
      </c>
      <c r="F95" s="9" t="str">
        <f aca="false">IF(D95&lt;=E95,"OK","Сократить")</f>
        <v>OK</v>
      </c>
    </row>
    <row r="96" customFormat="false" ht="15" hidden="false" customHeight="false" outlineLevel="0" collapsed="false">
      <c r="A96" s="9" t="s">
        <v>108</v>
      </c>
      <c r="B96" s="9" t="s">
        <v>262</v>
      </c>
      <c r="C96" s="9" t="s">
        <v>231</v>
      </c>
      <c r="D96" s="9" t="n">
        <f aca="false">LEN(C96)</f>
        <v>19</v>
      </c>
      <c r="E96" s="9" t="n">
        <v>30</v>
      </c>
      <c r="F96" s="9" t="str">
        <f aca="false">IF(D96&lt;=E96,"OK","Сократить")</f>
        <v>OK</v>
      </c>
    </row>
    <row r="97" customFormat="false" ht="15" hidden="false" customHeight="false" outlineLevel="0" collapsed="false">
      <c r="A97" s="9" t="s">
        <v>108</v>
      </c>
      <c r="B97" s="9" t="s">
        <v>262</v>
      </c>
      <c r="C97" s="9" t="s">
        <v>155</v>
      </c>
      <c r="D97" s="9" t="n">
        <f aca="false">LEN(C97)</f>
        <v>19</v>
      </c>
      <c r="E97" s="9" t="n">
        <v>30</v>
      </c>
      <c r="F97" s="9" t="str">
        <f aca="false">IF(D97&lt;=E97,"OK","Сократить")</f>
        <v>OK</v>
      </c>
    </row>
    <row r="98" customFormat="false" ht="15" hidden="false" customHeight="false" outlineLevel="0" collapsed="false">
      <c r="A98" s="9" t="s">
        <v>108</v>
      </c>
      <c r="B98" s="9" t="s">
        <v>262</v>
      </c>
      <c r="C98" s="9" t="s">
        <v>156</v>
      </c>
      <c r="D98" s="9" t="n">
        <f aca="false">LEN(C98)</f>
        <v>16</v>
      </c>
      <c r="E98" s="9" t="n">
        <v>30</v>
      </c>
      <c r="F98" s="9" t="str">
        <f aca="false">IF(D98&lt;=E98,"OK","Сократить")</f>
        <v>OK</v>
      </c>
    </row>
    <row r="99" customFormat="false" ht="15" hidden="false" customHeight="false" outlineLevel="0" collapsed="false">
      <c r="A99" s="9" t="s">
        <v>108</v>
      </c>
      <c r="B99" s="9" t="s">
        <v>262</v>
      </c>
      <c r="C99" s="9" t="s">
        <v>157</v>
      </c>
      <c r="D99" s="9" t="n">
        <f aca="false">LEN(C99)</f>
        <v>25</v>
      </c>
      <c r="E99" s="9" t="n">
        <v>30</v>
      </c>
      <c r="F99" s="9" t="str">
        <f aca="false">IF(D99&lt;=E99,"OK","Сократить")</f>
        <v>OK</v>
      </c>
    </row>
    <row r="100" customFormat="false" ht="15" hidden="false" customHeight="false" outlineLevel="0" collapsed="false">
      <c r="A100" s="9" t="s">
        <v>108</v>
      </c>
      <c r="B100" s="9" t="s">
        <v>262</v>
      </c>
      <c r="C100" s="9" t="s">
        <v>158</v>
      </c>
      <c r="D100" s="9" t="n">
        <f aca="false">LEN(C100)</f>
        <v>20</v>
      </c>
      <c r="E100" s="9" t="n">
        <v>30</v>
      </c>
      <c r="F100" s="9" t="str">
        <f aca="false">IF(D100&lt;=E100,"OK","Сократить")</f>
        <v>OK</v>
      </c>
    </row>
    <row r="101" customFormat="false" ht="15" hidden="false" customHeight="false" outlineLevel="0" collapsed="false">
      <c r="A101" s="9" t="s">
        <v>108</v>
      </c>
      <c r="B101" s="9" t="s">
        <v>262</v>
      </c>
      <c r="C101" s="9" t="s">
        <v>160</v>
      </c>
      <c r="D101" s="9" t="n">
        <f aca="false">LEN(C101)</f>
        <v>22</v>
      </c>
      <c r="E101" s="9" t="n">
        <v>30</v>
      </c>
      <c r="F101" s="9" t="str">
        <f aca="false">IF(D101&lt;=E101,"OK","Сократить")</f>
        <v>OK</v>
      </c>
    </row>
    <row r="102" customFormat="false" ht="15" hidden="false" customHeight="false" outlineLevel="0" collapsed="false">
      <c r="A102" s="9" t="s">
        <v>108</v>
      </c>
      <c r="B102" s="9" t="s">
        <v>262</v>
      </c>
      <c r="C102" s="9" t="s">
        <v>232</v>
      </c>
      <c r="D102" s="9" t="n">
        <f aca="false">LEN(C102)</f>
        <v>23</v>
      </c>
      <c r="E102" s="9" t="n">
        <v>30</v>
      </c>
      <c r="F102" s="9" t="str">
        <f aca="false">IF(D102&lt;=E102,"OK","Сократить")</f>
        <v>OK</v>
      </c>
    </row>
    <row r="103" customFormat="false" ht="15" hidden="false" customHeight="false" outlineLevel="0" collapsed="false">
      <c r="A103" s="9" t="s">
        <v>108</v>
      </c>
      <c r="B103" s="9" t="s">
        <v>263</v>
      </c>
      <c r="C103" s="9" t="s">
        <v>233</v>
      </c>
      <c r="D103" s="9" t="n">
        <f aca="false">LEN(C103)</f>
        <v>71</v>
      </c>
      <c r="E103" s="9" t="n">
        <v>90</v>
      </c>
      <c r="F103" s="9" t="str">
        <f aca="false">IF(D103&lt;=E103,"OK","Сократить")</f>
        <v>OK</v>
      </c>
    </row>
    <row r="104" customFormat="false" ht="15" hidden="false" customHeight="false" outlineLevel="0" collapsed="false">
      <c r="A104" s="9" t="s">
        <v>108</v>
      </c>
      <c r="B104" s="9" t="s">
        <v>263</v>
      </c>
      <c r="C104" s="9" t="s">
        <v>234</v>
      </c>
      <c r="D104" s="9" t="n">
        <f aca="false">LEN(C104)</f>
        <v>68</v>
      </c>
      <c r="E104" s="9" t="n">
        <v>90</v>
      </c>
      <c r="F104" s="9" t="str">
        <f aca="false">IF(D104&lt;=E104,"OK","Сократить")</f>
        <v>OK</v>
      </c>
    </row>
    <row r="105" customFormat="false" ht="15" hidden="false" customHeight="false" outlineLevel="0" collapsed="false">
      <c r="A105" s="9" t="s">
        <v>108</v>
      </c>
      <c r="B105" s="9" t="s">
        <v>263</v>
      </c>
      <c r="C105" s="9" t="s">
        <v>235</v>
      </c>
      <c r="D105" s="9" t="n">
        <f aca="false">LEN(C105)</f>
        <v>65</v>
      </c>
      <c r="E105" s="9" t="n">
        <v>90</v>
      </c>
      <c r="F105" s="9" t="str">
        <f aca="false">IF(D105&lt;=E105,"OK","Сократить")</f>
        <v>OK</v>
      </c>
    </row>
    <row r="106" customFormat="false" ht="15" hidden="false" customHeight="false" outlineLevel="0" collapsed="false">
      <c r="A106" s="9" t="s">
        <v>108</v>
      </c>
      <c r="B106" s="9" t="s">
        <v>263</v>
      </c>
      <c r="C106" s="9" t="s">
        <v>236</v>
      </c>
      <c r="D106" s="9" t="n">
        <f aca="false">LEN(C106)</f>
        <v>68</v>
      </c>
      <c r="E106" s="9" t="n">
        <v>90</v>
      </c>
      <c r="F106" s="9" t="str">
        <f aca="false">IF(D106&lt;=E106,"OK","Сократить")</f>
        <v>OK</v>
      </c>
    </row>
    <row r="107" customFormat="false" ht="15" hidden="false" customHeight="false" outlineLevel="0" collapsed="false">
      <c r="A107" s="9" t="s">
        <v>116</v>
      </c>
      <c r="B107" s="9" t="s">
        <v>262</v>
      </c>
      <c r="C107" s="9" t="s">
        <v>238</v>
      </c>
      <c r="D107" s="9" t="n">
        <f aca="false">LEN(C107)</f>
        <v>26</v>
      </c>
      <c r="E107" s="9" t="n">
        <v>30</v>
      </c>
      <c r="F107" s="9" t="str">
        <f aca="false">IF(D107&lt;=E107,"OK","Сократить")</f>
        <v>OK</v>
      </c>
    </row>
    <row r="108" customFormat="false" ht="15" hidden="false" customHeight="false" outlineLevel="0" collapsed="false">
      <c r="A108" s="9" t="s">
        <v>116</v>
      </c>
      <c r="B108" s="9" t="s">
        <v>262</v>
      </c>
      <c r="C108" s="9" t="s">
        <v>239</v>
      </c>
      <c r="D108" s="9" t="n">
        <f aca="false">LEN(C108)</f>
        <v>23</v>
      </c>
      <c r="E108" s="9" t="n">
        <v>30</v>
      </c>
      <c r="F108" s="9" t="str">
        <f aca="false">IF(D108&lt;=E108,"OK","Сократить")</f>
        <v>OK</v>
      </c>
    </row>
    <row r="109" customFormat="false" ht="15" hidden="false" customHeight="false" outlineLevel="0" collapsed="false">
      <c r="A109" s="9" t="s">
        <v>116</v>
      </c>
      <c r="B109" s="9" t="s">
        <v>262</v>
      </c>
      <c r="C109" s="9" t="s">
        <v>240</v>
      </c>
      <c r="D109" s="9" t="n">
        <f aca="false">LEN(C109)</f>
        <v>18</v>
      </c>
      <c r="E109" s="9" t="n">
        <v>30</v>
      </c>
      <c r="F109" s="9" t="str">
        <f aca="false">IF(D109&lt;=E109,"OK","Сократить")</f>
        <v>OK</v>
      </c>
    </row>
    <row r="110" customFormat="false" ht="15" hidden="false" customHeight="false" outlineLevel="0" collapsed="false">
      <c r="A110" s="9" t="s">
        <v>116</v>
      </c>
      <c r="B110" s="9" t="s">
        <v>262</v>
      </c>
      <c r="C110" s="9" t="s">
        <v>241</v>
      </c>
      <c r="D110" s="9" t="n">
        <f aca="false">LEN(C110)</f>
        <v>20</v>
      </c>
      <c r="E110" s="9" t="n">
        <v>30</v>
      </c>
      <c r="F110" s="9" t="str">
        <f aca="false">IF(D110&lt;=E110,"OK","Сократить")</f>
        <v>OK</v>
      </c>
    </row>
    <row r="111" customFormat="false" ht="15" hidden="false" customHeight="false" outlineLevel="0" collapsed="false">
      <c r="A111" s="9" t="s">
        <v>116</v>
      </c>
      <c r="B111" s="9" t="s">
        <v>262</v>
      </c>
      <c r="C111" s="9" t="s">
        <v>242</v>
      </c>
      <c r="D111" s="9" t="n">
        <f aca="false">LEN(C111)</f>
        <v>25</v>
      </c>
      <c r="E111" s="9" t="n">
        <v>30</v>
      </c>
      <c r="F111" s="9" t="str">
        <f aca="false">IF(D111&lt;=E111,"OK","Сократить")</f>
        <v>OK</v>
      </c>
    </row>
    <row r="112" customFormat="false" ht="15" hidden="false" customHeight="false" outlineLevel="0" collapsed="false">
      <c r="A112" s="9" t="s">
        <v>116</v>
      </c>
      <c r="B112" s="9" t="s">
        <v>262</v>
      </c>
      <c r="C112" s="9" t="s">
        <v>155</v>
      </c>
      <c r="D112" s="9" t="n">
        <f aca="false">LEN(C112)</f>
        <v>19</v>
      </c>
      <c r="E112" s="9" t="n">
        <v>30</v>
      </c>
      <c r="F112" s="9" t="str">
        <f aca="false">IF(D112&lt;=E112,"OK","Сократить")</f>
        <v>OK</v>
      </c>
    </row>
    <row r="113" customFormat="false" ht="15" hidden="false" customHeight="false" outlineLevel="0" collapsed="false">
      <c r="A113" s="9" t="s">
        <v>116</v>
      </c>
      <c r="B113" s="9" t="s">
        <v>262</v>
      </c>
      <c r="C113" s="9" t="s">
        <v>156</v>
      </c>
      <c r="D113" s="9" t="n">
        <f aca="false">LEN(C113)</f>
        <v>16</v>
      </c>
      <c r="E113" s="9" t="n">
        <v>30</v>
      </c>
      <c r="F113" s="9" t="str">
        <f aca="false">IF(D113&lt;=E113,"OK","Сократить")</f>
        <v>OK</v>
      </c>
    </row>
    <row r="114" customFormat="false" ht="15" hidden="false" customHeight="false" outlineLevel="0" collapsed="false">
      <c r="A114" s="9" t="s">
        <v>116</v>
      </c>
      <c r="B114" s="9" t="s">
        <v>262</v>
      </c>
      <c r="C114" s="9" t="s">
        <v>157</v>
      </c>
      <c r="D114" s="9" t="n">
        <f aca="false">LEN(C114)</f>
        <v>25</v>
      </c>
      <c r="E114" s="9" t="n">
        <v>30</v>
      </c>
      <c r="F114" s="9" t="str">
        <f aca="false">IF(D114&lt;=E114,"OK","Сократить")</f>
        <v>OK</v>
      </c>
    </row>
    <row r="115" customFormat="false" ht="15" hidden="false" customHeight="false" outlineLevel="0" collapsed="false">
      <c r="A115" s="9" t="s">
        <v>116</v>
      </c>
      <c r="B115" s="9" t="s">
        <v>262</v>
      </c>
      <c r="C115" s="9" t="s">
        <v>158</v>
      </c>
      <c r="D115" s="9" t="n">
        <f aca="false">LEN(C115)</f>
        <v>20</v>
      </c>
      <c r="E115" s="9" t="n">
        <v>30</v>
      </c>
      <c r="F115" s="9" t="str">
        <f aca="false">IF(D115&lt;=E115,"OK","Сократить")</f>
        <v>OK</v>
      </c>
    </row>
    <row r="116" customFormat="false" ht="15" hidden="false" customHeight="false" outlineLevel="0" collapsed="false">
      <c r="A116" s="9" t="s">
        <v>116</v>
      </c>
      <c r="B116" s="9" t="s">
        <v>262</v>
      </c>
      <c r="C116" s="9" t="s">
        <v>243</v>
      </c>
      <c r="D116" s="9" t="n">
        <f aca="false">LEN(C116)</f>
        <v>12</v>
      </c>
      <c r="E116" s="9" t="n">
        <v>30</v>
      </c>
      <c r="F116" s="9" t="str">
        <f aca="false">IF(D116&lt;=E116,"OK","Сократить")</f>
        <v>OK</v>
      </c>
    </row>
    <row r="117" customFormat="false" ht="15" hidden="false" customHeight="false" outlineLevel="0" collapsed="false">
      <c r="A117" s="9" t="s">
        <v>116</v>
      </c>
      <c r="B117" s="9" t="s">
        <v>262</v>
      </c>
      <c r="C117" s="9" t="s">
        <v>244</v>
      </c>
      <c r="D117" s="9" t="n">
        <f aca="false">LEN(C117)</f>
        <v>19</v>
      </c>
      <c r="E117" s="9" t="n">
        <v>30</v>
      </c>
      <c r="F117" s="9" t="str">
        <f aca="false">IF(D117&lt;=E117,"OK","Сократить")</f>
        <v>OK</v>
      </c>
    </row>
    <row r="118" customFormat="false" ht="15" hidden="false" customHeight="false" outlineLevel="0" collapsed="false">
      <c r="A118" s="9" t="s">
        <v>116</v>
      </c>
      <c r="B118" s="9" t="s">
        <v>263</v>
      </c>
      <c r="C118" s="9" t="s">
        <v>245</v>
      </c>
      <c r="D118" s="9" t="n">
        <f aca="false">LEN(C118)</f>
        <v>75</v>
      </c>
      <c r="E118" s="9" t="n">
        <v>90</v>
      </c>
      <c r="F118" s="9" t="str">
        <f aca="false">IF(D118&lt;=E118,"OK","Сократить")</f>
        <v>OK</v>
      </c>
    </row>
    <row r="119" customFormat="false" ht="15" hidden="false" customHeight="false" outlineLevel="0" collapsed="false">
      <c r="A119" s="9" t="s">
        <v>116</v>
      </c>
      <c r="B119" s="9" t="s">
        <v>263</v>
      </c>
      <c r="C119" s="9" t="s">
        <v>246</v>
      </c>
      <c r="D119" s="9" t="n">
        <f aca="false">LEN(C119)</f>
        <v>71</v>
      </c>
      <c r="E119" s="9" t="n">
        <v>90</v>
      </c>
      <c r="F119" s="9" t="str">
        <f aca="false">IF(D119&lt;=E119,"OK","Сократить")</f>
        <v>OK</v>
      </c>
    </row>
    <row r="120" customFormat="false" ht="15" hidden="false" customHeight="false" outlineLevel="0" collapsed="false">
      <c r="A120" s="9" t="s">
        <v>116</v>
      </c>
      <c r="B120" s="9" t="s">
        <v>263</v>
      </c>
      <c r="C120" s="9" t="s">
        <v>247</v>
      </c>
      <c r="D120" s="9" t="n">
        <f aca="false">LEN(C120)</f>
        <v>64</v>
      </c>
      <c r="E120" s="9" t="n">
        <v>90</v>
      </c>
      <c r="F120" s="9" t="str">
        <f aca="false">IF(D120&lt;=E120,"OK","Сократить")</f>
        <v>OK</v>
      </c>
    </row>
    <row r="121" customFormat="false" ht="15" hidden="false" customHeight="false" outlineLevel="0" collapsed="false">
      <c r="A121" s="9" t="s">
        <v>116</v>
      </c>
      <c r="B121" s="9" t="s">
        <v>263</v>
      </c>
      <c r="C121" s="9" t="s">
        <v>248</v>
      </c>
      <c r="D121" s="9" t="n">
        <f aca="false">LEN(C121)</f>
        <v>68</v>
      </c>
      <c r="E121" s="9" t="n">
        <v>90</v>
      </c>
      <c r="F121" s="9" t="str">
        <f aca="false">IF(D121&lt;=E121,"OK","Сократить")</f>
        <v>OK</v>
      </c>
    </row>
    <row r="122" customFormat="false" ht="15" hidden="false" customHeight="false" outlineLevel="0" collapsed="false">
      <c r="A122" s="9" t="s">
        <v>124</v>
      </c>
      <c r="B122" s="9" t="s">
        <v>262</v>
      </c>
      <c r="C122" s="9" t="s">
        <v>151</v>
      </c>
      <c r="D122" s="9" t="n">
        <f aca="false">LEN(C122)</f>
        <v>21</v>
      </c>
      <c r="E122" s="9" t="n">
        <v>30</v>
      </c>
      <c r="F122" s="9" t="str">
        <f aca="false">IF(D122&lt;=E122,"OK","Сократить")</f>
        <v>OK</v>
      </c>
    </row>
    <row r="123" customFormat="false" ht="15" hidden="false" customHeight="false" outlineLevel="0" collapsed="false">
      <c r="A123" s="9" t="s">
        <v>124</v>
      </c>
      <c r="B123" s="9" t="s">
        <v>262</v>
      </c>
      <c r="C123" s="9" t="s">
        <v>250</v>
      </c>
      <c r="D123" s="9" t="n">
        <f aca="false">LEN(C123)</f>
        <v>15</v>
      </c>
      <c r="E123" s="9" t="n">
        <v>30</v>
      </c>
      <c r="F123" s="9" t="str">
        <f aca="false">IF(D123&lt;=E123,"OK","Сократить")</f>
        <v>OK</v>
      </c>
    </row>
    <row r="124" customFormat="false" ht="15" hidden="false" customHeight="false" outlineLevel="0" collapsed="false">
      <c r="A124" s="9" t="s">
        <v>124</v>
      </c>
      <c r="B124" s="9" t="s">
        <v>262</v>
      </c>
      <c r="C124" s="9" t="s">
        <v>251</v>
      </c>
      <c r="D124" s="9" t="n">
        <f aca="false">LEN(C124)</f>
        <v>26</v>
      </c>
      <c r="E124" s="9" t="n">
        <v>30</v>
      </c>
      <c r="F124" s="9" t="str">
        <f aca="false">IF(D124&lt;=E124,"OK","Сократить")</f>
        <v>OK</v>
      </c>
    </row>
    <row r="125" customFormat="false" ht="15" hidden="false" customHeight="false" outlineLevel="0" collapsed="false">
      <c r="A125" s="9" t="s">
        <v>124</v>
      </c>
      <c r="B125" s="9" t="s">
        <v>262</v>
      </c>
      <c r="C125" s="9" t="s">
        <v>252</v>
      </c>
      <c r="D125" s="9" t="n">
        <f aca="false">LEN(C125)</f>
        <v>17</v>
      </c>
      <c r="E125" s="9" t="n">
        <v>30</v>
      </c>
      <c r="F125" s="9" t="str">
        <f aca="false">IF(D125&lt;=E125,"OK","Сократить")</f>
        <v>OK</v>
      </c>
    </row>
    <row r="126" customFormat="false" ht="15" hidden="false" customHeight="false" outlineLevel="0" collapsed="false">
      <c r="A126" s="9" t="s">
        <v>124</v>
      </c>
      <c r="B126" s="9" t="s">
        <v>262</v>
      </c>
      <c r="C126" s="9" t="s">
        <v>156</v>
      </c>
      <c r="D126" s="9" t="n">
        <f aca="false">LEN(C126)</f>
        <v>16</v>
      </c>
      <c r="E126" s="9" t="n">
        <v>30</v>
      </c>
      <c r="F126" s="9" t="str">
        <f aca="false">IF(D126&lt;=E126,"OK","Сократить")</f>
        <v>OK</v>
      </c>
    </row>
    <row r="127" customFormat="false" ht="15" hidden="false" customHeight="false" outlineLevel="0" collapsed="false">
      <c r="A127" s="9" t="s">
        <v>124</v>
      </c>
      <c r="B127" s="9" t="s">
        <v>263</v>
      </c>
      <c r="C127" s="9" t="s">
        <v>253</v>
      </c>
      <c r="D127" s="9" t="n">
        <f aca="false">LEN(C127)</f>
        <v>73</v>
      </c>
      <c r="E127" s="9" t="n">
        <v>90</v>
      </c>
      <c r="F127" s="9" t="str">
        <f aca="false">IF(D127&lt;=E127,"OK","Сократить")</f>
        <v>OK</v>
      </c>
    </row>
    <row r="128" customFormat="false" ht="15" hidden="false" customHeight="false" outlineLevel="0" collapsed="false">
      <c r="A128" s="9" t="s">
        <v>124</v>
      </c>
      <c r="B128" s="9" t="s">
        <v>263</v>
      </c>
      <c r="C128" s="9" t="s">
        <v>254</v>
      </c>
      <c r="D128" s="9" t="n">
        <f aca="false">LEN(C128)</f>
        <v>77</v>
      </c>
      <c r="E128" s="9" t="n">
        <v>90</v>
      </c>
      <c r="F128" s="9" t="str">
        <f aca="false">IF(D128&lt;=E128,"OK","Сократить")</f>
        <v>OK</v>
      </c>
    </row>
  </sheetData>
  <autoFilter ref="A1:F128"/>
  <conditionalFormatting sqref="F2:F128">
    <cfRule type="expression" priority="2" aboveAverage="0" equalAverage="0" bottom="0" percent="0" rank="0" text="" dxfId="3">
      <formula>F2="Сократить"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8" t="s">
        <v>44</v>
      </c>
      <c r="B1" s="8" t="s">
        <v>46</v>
      </c>
      <c r="C1" s="8" t="s">
        <v>47</v>
      </c>
      <c r="D1" s="8" t="s">
        <v>264</v>
      </c>
    </row>
    <row r="2" customFormat="false" ht="15" hidden="false" customHeight="false" outlineLevel="0" collapsed="false">
      <c r="A2" s="9" t="s">
        <v>50</v>
      </c>
      <c r="B2" s="9" t="s">
        <v>265</v>
      </c>
      <c r="C2" s="9" t="s">
        <v>266</v>
      </c>
      <c r="D2" s="9" t="s">
        <v>267</v>
      </c>
    </row>
    <row r="3" customFormat="false" ht="15" hidden="false" customHeight="false" outlineLevel="0" collapsed="false">
      <c r="A3" s="9" t="s">
        <v>50</v>
      </c>
      <c r="B3" s="9" t="s">
        <v>268</v>
      </c>
      <c r="C3" s="9" t="s">
        <v>266</v>
      </c>
      <c r="D3" s="9" t="s">
        <v>267</v>
      </c>
    </row>
    <row r="4" customFormat="false" ht="15" hidden="false" customHeight="false" outlineLevel="0" collapsed="false">
      <c r="A4" s="9" t="s">
        <v>50</v>
      </c>
      <c r="B4" s="9" t="s">
        <v>269</v>
      </c>
      <c r="C4" s="9" t="s">
        <v>266</v>
      </c>
      <c r="D4" s="9" t="s">
        <v>267</v>
      </c>
    </row>
    <row r="5" customFormat="false" ht="15" hidden="false" customHeight="false" outlineLevel="0" collapsed="false">
      <c r="A5" s="9" t="s">
        <v>50</v>
      </c>
      <c r="B5" s="9" t="s">
        <v>270</v>
      </c>
      <c r="C5" s="9" t="s">
        <v>266</v>
      </c>
      <c r="D5" s="9" t="s">
        <v>267</v>
      </c>
    </row>
    <row r="6" customFormat="false" ht="15" hidden="false" customHeight="false" outlineLevel="0" collapsed="false">
      <c r="A6" s="9" t="s">
        <v>50</v>
      </c>
      <c r="B6" s="9" t="s">
        <v>271</v>
      </c>
      <c r="C6" s="9" t="s">
        <v>266</v>
      </c>
      <c r="D6" s="9" t="s">
        <v>267</v>
      </c>
    </row>
    <row r="7" customFormat="false" ht="15" hidden="false" customHeight="false" outlineLevel="0" collapsed="false">
      <c r="A7" s="9" t="s">
        <v>50</v>
      </c>
      <c r="B7" s="9" t="s">
        <v>272</v>
      </c>
      <c r="C7" s="9" t="s">
        <v>266</v>
      </c>
      <c r="D7" s="9" t="s">
        <v>267</v>
      </c>
    </row>
    <row r="8" customFormat="false" ht="15" hidden="false" customHeight="false" outlineLevel="0" collapsed="false">
      <c r="A8" s="9" t="s">
        <v>50</v>
      </c>
      <c r="B8" s="9" t="s">
        <v>273</v>
      </c>
      <c r="C8" s="9" t="s">
        <v>266</v>
      </c>
      <c r="D8" s="9" t="s">
        <v>267</v>
      </c>
    </row>
    <row r="9" customFormat="false" ht="15" hidden="false" customHeight="false" outlineLevel="0" collapsed="false">
      <c r="A9" s="9" t="s">
        <v>50</v>
      </c>
      <c r="B9" s="9" t="s">
        <v>274</v>
      </c>
      <c r="C9" s="9" t="s">
        <v>266</v>
      </c>
      <c r="D9" s="9" t="s">
        <v>267</v>
      </c>
    </row>
    <row r="10" customFormat="false" ht="15" hidden="false" customHeight="false" outlineLevel="0" collapsed="false">
      <c r="A10" s="9" t="s">
        <v>50</v>
      </c>
      <c r="B10" s="9" t="s">
        <v>275</v>
      </c>
      <c r="C10" s="9" t="s">
        <v>266</v>
      </c>
      <c r="D10" s="9" t="s">
        <v>267</v>
      </c>
    </row>
    <row r="11" customFormat="false" ht="15" hidden="false" customHeight="false" outlineLevel="0" collapsed="false">
      <c r="A11" s="9" t="s">
        <v>50</v>
      </c>
      <c r="B11" s="9" t="s">
        <v>276</v>
      </c>
      <c r="C11" s="9" t="s">
        <v>266</v>
      </c>
      <c r="D11" s="9" t="s">
        <v>267</v>
      </c>
    </row>
    <row r="12" customFormat="false" ht="15" hidden="false" customHeight="false" outlineLevel="0" collapsed="false">
      <c r="A12" s="9" t="s">
        <v>50</v>
      </c>
      <c r="B12" s="9" t="s">
        <v>277</v>
      </c>
      <c r="C12" s="9" t="s">
        <v>266</v>
      </c>
      <c r="D12" s="9" t="s">
        <v>278</v>
      </c>
    </row>
    <row r="13" customFormat="false" ht="15" hidden="false" customHeight="false" outlineLevel="0" collapsed="false">
      <c r="A13" s="9" t="s">
        <v>50</v>
      </c>
      <c r="B13" s="9" t="s">
        <v>279</v>
      </c>
      <c r="C13" s="9" t="s">
        <v>266</v>
      </c>
      <c r="D13" s="9" t="s">
        <v>278</v>
      </c>
    </row>
    <row r="14" customFormat="false" ht="15" hidden="false" customHeight="false" outlineLevel="0" collapsed="false">
      <c r="A14" s="9" t="s">
        <v>50</v>
      </c>
      <c r="B14" s="9" t="s">
        <v>280</v>
      </c>
      <c r="C14" s="9" t="s">
        <v>266</v>
      </c>
      <c r="D14" s="9" t="s">
        <v>278</v>
      </c>
    </row>
    <row r="15" customFormat="false" ht="15" hidden="false" customHeight="false" outlineLevel="0" collapsed="false">
      <c r="A15" s="9" t="s">
        <v>50</v>
      </c>
      <c r="B15" s="9" t="s">
        <v>281</v>
      </c>
      <c r="C15" s="9" t="s">
        <v>266</v>
      </c>
      <c r="D15" s="9" t="s">
        <v>278</v>
      </c>
    </row>
    <row r="16" customFormat="false" ht="15" hidden="false" customHeight="false" outlineLevel="0" collapsed="false">
      <c r="A16" s="9" t="s">
        <v>50</v>
      </c>
      <c r="B16" s="9" t="s">
        <v>282</v>
      </c>
      <c r="C16" s="9" t="s">
        <v>266</v>
      </c>
      <c r="D16" s="9" t="s">
        <v>278</v>
      </c>
    </row>
    <row r="17" customFormat="false" ht="15" hidden="false" customHeight="false" outlineLevel="0" collapsed="false">
      <c r="A17" s="9" t="s">
        <v>50</v>
      </c>
      <c r="B17" s="9" t="s">
        <v>283</v>
      </c>
      <c r="C17" s="9" t="s">
        <v>266</v>
      </c>
      <c r="D17" s="9" t="s">
        <v>278</v>
      </c>
    </row>
    <row r="18" customFormat="false" ht="15" hidden="false" customHeight="false" outlineLevel="0" collapsed="false">
      <c r="A18" s="9" t="s">
        <v>50</v>
      </c>
      <c r="B18" s="9" t="s">
        <v>284</v>
      </c>
      <c r="C18" s="9" t="s">
        <v>266</v>
      </c>
      <c r="D18" s="9" t="s">
        <v>285</v>
      </c>
    </row>
    <row r="19" customFormat="false" ht="15" hidden="false" customHeight="false" outlineLevel="0" collapsed="false">
      <c r="A19" s="9" t="s">
        <v>50</v>
      </c>
      <c r="B19" s="9" t="s">
        <v>286</v>
      </c>
      <c r="C19" s="9" t="s">
        <v>266</v>
      </c>
      <c r="D19" s="9" t="s">
        <v>285</v>
      </c>
    </row>
    <row r="20" customFormat="false" ht="15" hidden="false" customHeight="false" outlineLevel="0" collapsed="false">
      <c r="A20" s="9" t="s">
        <v>50</v>
      </c>
      <c r="B20" s="9" t="s">
        <v>287</v>
      </c>
      <c r="C20" s="9" t="s">
        <v>266</v>
      </c>
      <c r="D20" s="9" t="s">
        <v>285</v>
      </c>
    </row>
    <row r="21" customFormat="false" ht="15" hidden="false" customHeight="false" outlineLevel="0" collapsed="false">
      <c r="A21" s="9" t="s">
        <v>50</v>
      </c>
      <c r="B21" s="9" t="s">
        <v>288</v>
      </c>
      <c r="C21" s="9" t="s">
        <v>266</v>
      </c>
      <c r="D21" s="9" t="s">
        <v>285</v>
      </c>
    </row>
    <row r="22" customFormat="false" ht="15" hidden="false" customHeight="false" outlineLevel="0" collapsed="false">
      <c r="A22" s="9" t="s">
        <v>50</v>
      </c>
      <c r="B22" s="9" t="s">
        <v>289</v>
      </c>
      <c r="C22" s="9" t="s">
        <v>266</v>
      </c>
      <c r="D22" s="9" t="s">
        <v>285</v>
      </c>
    </row>
    <row r="23" customFormat="false" ht="15" hidden="false" customHeight="false" outlineLevel="0" collapsed="false">
      <c r="A23" s="9" t="s">
        <v>50</v>
      </c>
      <c r="B23" s="9" t="s">
        <v>290</v>
      </c>
      <c r="C23" s="9" t="s">
        <v>266</v>
      </c>
      <c r="D23" s="9" t="s">
        <v>285</v>
      </c>
    </row>
    <row r="24" customFormat="false" ht="15" hidden="false" customHeight="false" outlineLevel="0" collapsed="false">
      <c r="A24" s="9" t="s">
        <v>50</v>
      </c>
      <c r="B24" s="9" t="s">
        <v>291</v>
      </c>
      <c r="C24" s="9" t="s">
        <v>266</v>
      </c>
      <c r="D24" s="9" t="s">
        <v>285</v>
      </c>
    </row>
    <row r="25" customFormat="false" ht="15" hidden="false" customHeight="false" outlineLevel="0" collapsed="false">
      <c r="A25" s="9" t="s">
        <v>50</v>
      </c>
      <c r="B25" s="9" t="s">
        <v>292</v>
      </c>
      <c r="C25" s="9" t="s">
        <v>266</v>
      </c>
      <c r="D25" s="9" t="s">
        <v>293</v>
      </c>
    </row>
    <row r="26" customFormat="false" ht="15" hidden="false" customHeight="false" outlineLevel="0" collapsed="false">
      <c r="A26" s="9" t="s">
        <v>50</v>
      </c>
      <c r="B26" s="9" t="s">
        <v>294</v>
      </c>
      <c r="C26" s="9" t="s">
        <v>266</v>
      </c>
      <c r="D26" s="9" t="s">
        <v>293</v>
      </c>
    </row>
    <row r="27" customFormat="false" ht="15" hidden="false" customHeight="false" outlineLevel="0" collapsed="false">
      <c r="A27" s="9" t="s">
        <v>50</v>
      </c>
      <c r="B27" s="9" t="s">
        <v>295</v>
      </c>
      <c r="C27" s="9" t="s">
        <v>266</v>
      </c>
      <c r="D27" s="9" t="s">
        <v>293</v>
      </c>
    </row>
    <row r="28" customFormat="false" ht="15" hidden="false" customHeight="false" outlineLevel="0" collapsed="false">
      <c r="A28" s="9" t="s">
        <v>50</v>
      </c>
      <c r="B28" s="9" t="s">
        <v>296</v>
      </c>
      <c r="C28" s="9" t="s">
        <v>266</v>
      </c>
      <c r="D28" s="9" t="s">
        <v>293</v>
      </c>
    </row>
    <row r="29" customFormat="false" ht="15" hidden="false" customHeight="false" outlineLevel="0" collapsed="false">
      <c r="A29" s="9" t="s">
        <v>50</v>
      </c>
      <c r="B29" s="9" t="s">
        <v>297</v>
      </c>
      <c r="C29" s="9" t="s">
        <v>266</v>
      </c>
      <c r="D29" s="9" t="s">
        <v>293</v>
      </c>
    </row>
    <row r="30" customFormat="false" ht="15" hidden="false" customHeight="false" outlineLevel="0" collapsed="false">
      <c r="A30" s="9" t="s">
        <v>50</v>
      </c>
      <c r="B30" s="9" t="s">
        <v>298</v>
      </c>
      <c r="C30" s="9" t="s">
        <v>266</v>
      </c>
      <c r="D30" s="9" t="s">
        <v>293</v>
      </c>
    </row>
    <row r="31" customFormat="false" ht="15" hidden="false" customHeight="false" outlineLevel="0" collapsed="false">
      <c r="A31" s="9" t="s">
        <v>50</v>
      </c>
      <c r="B31" s="9" t="s">
        <v>299</v>
      </c>
      <c r="C31" s="9" t="s">
        <v>266</v>
      </c>
      <c r="D31" s="9" t="s">
        <v>293</v>
      </c>
    </row>
    <row r="32" customFormat="false" ht="15" hidden="false" customHeight="false" outlineLevel="0" collapsed="false">
      <c r="A32" s="9" t="s">
        <v>50</v>
      </c>
      <c r="B32" s="9" t="s">
        <v>300</v>
      </c>
      <c r="C32" s="9" t="s">
        <v>266</v>
      </c>
      <c r="D32" s="9" t="s">
        <v>293</v>
      </c>
    </row>
    <row r="33" customFormat="false" ht="15" hidden="false" customHeight="false" outlineLevel="0" collapsed="false">
      <c r="A33" s="9" t="s">
        <v>50</v>
      </c>
      <c r="B33" s="9" t="s">
        <v>301</v>
      </c>
      <c r="C33" s="9" t="s">
        <v>266</v>
      </c>
      <c r="D33" s="9" t="s">
        <v>293</v>
      </c>
    </row>
    <row r="34" customFormat="false" ht="15" hidden="false" customHeight="false" outlineLevel="0" collapsed="false">
      <c r="A34" s="9" t="s">
        <v>50</v>
      </c>
      <c r="B34" s="9" t="s">
        <v>302</v>
      </c>
      <c r="C34" s="9" t="s">
        <v>266</v>
      </c>
      <c r="D34" s="9" t="s">
        <v>293</v>
      </c>
    </row>
    <row r="35" customFormat="false" ht="15" hidden="false" customHeight="false" outlineLevel="0" collapsed="false">
      <c r="A35" s="9" t="s">
        <v>50</v>
      </c>
      <c r="B35" s="9" t="s">
        <v>303</v>
      </c>
      <c r="C35" s="9" t="s">
        <v>266</v>
      </c>
      <c r="D35" s="9" t="s">
        <v>293</v>
      </c>
    </row>
    <row r="36" customFormat="false" ht="15" hidden="false" customHeight="false" outlineLevel="0" collapsed="false">
      <c r="A36" s="9" t="s">
        <v>50</v>
      </c>
      <c r="B36" s="9" t="s">
        <v>304</v>
      </c>
      <c r="C36" s="9" t="s">
        <v>266</v>
      </c>
      <c r="D36" s="9" t="s">
        <v>305</v>
      </c>
    </row>
    <row r="37" customFormat="false" ht="15" hidden="false" customHeight="false" outlineLevel="0" collapsed="false">
      <c r="A37" s="9" t="s">
        <v>50</v>
      </c>
      <c r="B37" s="9" t="s">
        <v>306</v>
      </c>
      <c r="C37" s="9" t="s">
        <v>266</v>
      </c>
      <c r="D37" s="9" t="s">
        <v>305</v>
      </c>
    </row>
    <row r="38" customFormat="false" ht="15" hidden="false" customHeight="false" outlineLevel="0" collapsed="false">
      <c r="A38" s="9" t="s">
        <v>50</v>
      </c>
      <c r="B38" s="9" t="s">
        <v>307</v>
      </c>
      <c r="C38" s="9" t="s">
        <v>266</v>
      </c>
      <c r="D38" s="9" t="s">
        <v>305</v>
      </c>
    </row>
    <row r="39" customFormat="false" ht="15" hidden="false" customHeight="false" outlineLevel="0" collapsed="false">
      <c r="A39" s="9" t="s">
        <v>50</v>
      </c>
      <c r="B39" s="9" t="s">
        <v>308</v>
      </c>
      <c r="C39" s="9" t="s">
        <v>266</v>
      </c>
      <c r="D39" s="9" t="s">
        <v>305</v>
      </c>
    </row>
    <row r="40" customFormat="false" ht="15" hidden="false" customHeight="false" outlineLevel="0" collapsed="false">
      <c r="A40" s="9" t="s">
        <v>50</v>
      </c>
      <c r="B40" s="9" t="s">
        <v>309</v>
      </c>
      <c r="C40" s="9" t="s">
        <v>266</v>
      </c>
      <c r="D40" s="9" t="s">
        <v>305</v>
      </c>
    </row>
    <row r="41" customFormat="false" ht="15" hidden="false" customHeight="false" outlineLevel="0" collapsed="false">
      <c r="A41" s="9" t="s">
        <v>50</v>
      </c>
      <c r="B41" s="9" t="s">
        <v>310</v>
      </c>
      <c r="C41" s="9" t="s">
        <v>266</v>
      </c>
      <c r="D41" s="9" t="s">
        <v>311</v>
      </c>
    </row>
    <row r="42" customFormat="false" ht="15" hidden="false" customHeight="false" outlineLevel="0" collapsed="false">
      <c r="A42" s="9" t="s">
        <v>50</v>
      </c>
      <c r="B42" s="9" t="s">
        <v>312</v>
      </c>
      <c r="C42" s="9" t="s">
        <v>266</v>
      </c>
      <c r="D42" s="9" t="s">
        <v>311</v>
      </c>
    </row>
    <row r="43" customFormat="false" ht="15" hidden="false" customHeight="false" outlineLevel="0" collapsed="false">
      <c r="A43" s="9" t="s">
        <v>50</v>
      </c>
      <c r="B43" s="9" t="s">
        <v>313</v>
      </c>
      <c r="C43" s="9" t="s">
        <v>266</v>
      </c>
      <c r="D43" s="9" t="s">
        <v>311</v>
      </c>
    </row>
    <row r="44" customFormat="false" ht="15" hidden="false" customHeight="false" outlineLevel="0" collapsed="false">
      <c r="A44" s="9" t="s">
        <v>50</v>
      </c>
      <c r="B44" s="9" t="s">
        <v>314</v>
      </c>
      <c r="C44" s="9" t="s">
        <v>266</v>
      </c>
      <c r="D44" s="9" t="s">
        <v>311</v>
      </c>
    </row>
    <row r="45" customFormat="false" ht="15" hidden="false" customHeight="false" outlineLevel="0" collapsed="false">
      <c r="A45" s="9" t="s">
        <v>50</v>
      </c>
      <c r="B45" s="9" t="s">
        <v>315</v>
      </c>
      <c r="C45" s="9" t="s">
        <v>266</v>
      </c>
      <c r="D45" s="9" t="s">
        <v>311</v>
      </c>
    </row>
    <row r="46" customFormat="false" ht="15" hidden="false" customHeight="false" outlineLevel="0" collapsed="false">
      <c r="A46" s="9" t="s">
        <v>50</v>
      </c>
      <c r="B46" s="9" t="s">
        <v>316</v>
      </c>
      <c r="C46" s="9" t="s">
        <v>266</v>
      </c>
      <c r="D46" s="9" t="s">
        <v>311</v>
      </c>
    </row>
    <row r="47" customFormat="false" ht="15" hidden="false" customHeight="false" outlineLevel="0" collapsed="false">
      <c r="A47" s="9" t="s">
        <v>50</v>
      </c>
      <c r="B47" s="9" t="s">
        <v>317</v>
      </c>
      <c r="C47" s="9" t="s">
        <v>266</v>
      </c>
      <c r="D47" s="9" t="s">
        <v>311</v>
      </c>
    </row>
    <row r="48" customFormat="false" ht="15" hidden="false" customHeight="false" outlineLevel="0" collapsed="false">
      <c r="A48" s="9" t="s">
        <v>50</v>
      </c>
      <c r="B48" s="9" t="s">
        <v>318</v>
      </c>
      <c r="C48" s="9" t="s">
        <v>266</v>
      </c>
      <c r="D48" s="9" t="s">
        <v>311</v>
      </c>
    </row>
    <row r="49" customFormat="false" ht="15" hidden="false" customHeight="false" outlineLevel="0" collapsed="false">
      <c r="A49" s="9" t="s">
        <v>50</v>
      </c>
      <c r="B49" s="9" t="s">
        <v>319</v>
      </c>
      <c r="C49" s="9" t="s">
        <v>266</v>
      </c>
      <c r="D49" s="9" t="s">
        <v>311</v>
      </c>
    </row>
    <row r="50" customFormat="false" ht="15" hidden="false" customHeight="false" outlineLevel="0" collapsed="false">
      <c r="A50" s="9" t="s">
        <v>50</v>
      </c>
      <c r="B50" s="9" t="s">
        <v>320</v>
      </c>
      <c r="C50" s="9" t="s">
        <v>266</v>
      </c>
      <c r="D50" s="9" t="s">
        <v>311</v>
      </c>
    </row>
    <row r="52" customFormat="false" ht="15" hidden="false" customHeight="false" outlineLevel="0" collapsed="false">
      <c r="A52" s="10" t="s">
        <v>321</v>
      </c>
    </row>
  </sheetData>
  <autoFilter ref="A1:D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30"/>
    <col collapsed="false" customWidth="true" hidden="false" outlineLevel="0" max="4" min="4" style="0" width="40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1" t="s">
        <v>322</v>
      </c>
    </row>
    <row r="2" customFormat="false" ht="15" hidden="false" customHeight="false" outlineLevel="0" collapsed="false">
      <c r="A2" s="12" t="s">
        <v>323</v>
      </c>
      <c r="B2" s="12" t="s">
        <v>324</v>
      </c>
      <c r="C2" s="12" t="s">
        <v>325</v>
      </c>
      <c r="D2" s="12" t="s">
        <v>48</v>
      </c>
    </row>
    <row r="3" customFormat="false" ht="15" hidden="false" customHeight="false" outlineLevel="0" collapsed="false">
      <c r="A3" s="13" t="s">
        <v>66</v>
      </c>
      <c r="B3" s="13" t="s">
        <v>326</v>
      </c>
      <c r="C3" s="13" t="s">
        <v>327</v>
      </c>
      <c r="D3" s="13" t="s">
        <v>68</v>
      </c>
    </row>
    <row r="4" customFormat="false" ht="15" hidden="false" customHeight="false" outlineLevel="0" collapsed="false">
      <c r="A4" s="13" t="s">
        <v>76</v>
      </c>
      <c r="B4" s="13" t="s">
        <v>328</v>
      </c>
      <c r="C4" s="13" t="s">
        <v>329</v>
      </c>
      <c r="D4" s="13" t="s">
        <v>78</v>
      </c>
    </row>
    <row r="5" customFormat="false" ht="15" hidden="false" customHeight="false" outlineLevel="0" collapsed="false">
      <c r="A5" s="13" t="s">
        <v>85</v>
      </c>
      <c r="B5" s="13" t="s">
        <v>330</v>
      </c>
      <c r="C5" s="13" t="s">
        <v>195</v>
      </c>
      <c r="D5" s="13" t="s">
        <v>87</v>
      </c>
    </row>
    <row r="6" customFormat="false" ht="15" hidden="false" customHeight="false" outlineLevel="0" collapsed="false">
      <c r="A6" s="13" t="s">
        <v>93</v>
      </c>
      <c r="B6" s="13" t="s">
        <v>209</v>
      </c>
      <c r="C6" s="13" t="s">
        <v>185</v>
      </c>
      <c r="D6" s="13" t="s">
        <v>95</v>
      </c>
    </row>
    <row r="7" customFormat="false" ht="15" hidden="false" customHeight="false" outlineLevel="0" collapsed="false">
      <c r="A7" s="13" t="s">
        <v>100</v>
      </c>
      <c r="B7" s="13" t="s">
        <v>331</v>
      </c>
      <c r="C7" s="13" t="s">
        <v>332</v>
      </c>
      <c r="D7" s="13" t="s">
        <v>102</v>
      </c>
    </row>
    <row r="8" customFormat="false" ht="15" hidden="false" customHeight="false" outlineLevel="0" collapsed="false">
      <c r="A8" s="13" t="s">
        <v>333</v>
      </c>
      <c r="B8" s="13" t="s">
        <v>334</v>
      </c>
      <c r="C8" s="13" t="s">
        <v>335</v>
      </c>
      <c r="D8" s="13" t="s">
        <v>336</v>
      </c>
    </row>
    <row r="9" customFormat="false" ht="15" hidden="false" customHeight="false" outlineLevel="0" collapsed="false">
      <c r="A9" s="13" t="s">
        <v>337</v>
      </c>
      <c r="B9" s="13" t="s">
        <v>338</v>
      </c>
      <c r="C9" s="13" t="s">
        <v>339</v>
      </c>
      <c r="D9" s="13" t="s">
        <v>340</v>
      </c>
    </row>
    <row r="10" customFormat="false" ht="15" hidden="false" customHeight="false" outlineLevel="0" collapsed="false">
      <c r="A10" s="13" t="s">
        <v>341</v>
      </c>
      <c r="B10" s="13" t="s">
        <v>342</v>
      </c>
      <c r="C10" s="13" t="s">
        <v>343</v>
      </c>
      <c r="D10" s="13" t="s">
        <v>344</v>
      </c>
    </row>
    <row r="11" customFormat="false" ht="15" hidden="false" customHeight="false" outlineLevel="0" collapsed="false">
      <c r="A11" s="13"/>
      <c r="B11" s="13"/>
      <c r="C11" s="13"/>
      <c r="D11" s="13"/>
    </row>
    <row r="12" customFormat="false" ht="15" hidden="false" customHeight="false" outlineLevel="0" collapsed="false">
      <c r="A12" s="11" t="s">
        <v>345</v>
      </c>
      <c r="B12" s="13"/>
      <c r="C12" s="13"/>
      <c r="D12" s="13"/>
    </row>
    <row r="13" customFormat="false" ht="15" hidden="false" customHeight="false" outlineLevel="0" collapsed="false">
      <c r="A13" s="13" t="s">
        <v>346</v>
      </c>
      <c r="B13" s="13"/>
      <c r="C13" s="13"/>
      <c r="D13" s="13"/>
    </row>
    <row r="14" customFormat="false" ht="15" hidden="false" customHeight="false" outlineLevel="0" collapsed="false">
      <c r="A14" s="13" t="s">
        <v>156</v>
      </c>
      <c r="B14" s="13"/>
      <c r="C14" s="13"/>
      <c r="D14" s="13"/>
    </row>
    <row r="15" customFormat="false" ht="15" hidden="false" customHeight="false" outlineLevel="0" collapsed="false">
      <c r="A15" s="13" t="s">
        <v>158</v>
      </c>
      <c r="B15" s="13"/>
      <c r="C15" s="13"/>
      <c r="D15" s="13"/>
    </row>
    <row r="16" customFormat="false" ht="15" hidden="false" customHeight="false" outlineLevel="0" collapsed="false">
      <c r="A16" s="13" t="s">
        <v>347</v>
      </c>
      <c r="B16" s="13"/>
      <c r="C16" s="13"/>
      <c r="D16" s="13"/>
    </row>
    <row r="17" customFormat="false" ht="15" hidden="false" customHeight="false" outlineLevel="0" collapsed="false">
      <c r="A17" s="13" t="s">
        <v>348</v>
      </c>
      <c r="B17" s="13"/>
      <c r="C17" s="13"/>
      <c r="D17" s="13"/>
    </row>
    <row r="18" customFormat="false" ht="15" hidden="false" customHeight="false" outlineLevel="0" collapsed="false">
      <c r="A18" s="13" t="s">
        <v>349</v>
      </c>
      <c r="B18" s="13"/>
      <c r="C18" s="13"/>
      <c r="D18" s="13"/>
    </row>
    <row r="19" customFormat="false" ht="15" hidden="false" customHeight="false" outlineLevel="0" collapsed="false">
      <c r="A19" s="13" t="s">
        <v>350</v>
      </c>
      <c r="B19" s="13"/>
      <c r="C19" s="13"/>
      <c r="D19" s="13"/>
    </row>
    <row r="20" customFormat="false" ht="15" hidden="false" customHeight="false" outlineLevel="0" collapsed="false">
      <c r="A20" s="13" t="s">
        <v>185</v>
      </c>
      <c r="B20" s="13"/>
      <c r="C20" s="13"/>
      <c r="D20" s="13"/>
    </row>
    <row r="21" customFormat="false" ht="15" hidden="false" customHeight="false" outlineLevel="0" collapsed="false">
      <c r="A21" s="13"/>
      <c r="B21" s="13"/>
      <c r="C21" s="13"/>
      <c r="D21" s="13"/>
    </row>
    <row r="22" customFormat="false" ht="15" hidden="false" customHeight="false" outlineLevel="0" collapsed="false">
      <c r="A22" s="11" t="s">
        <v>351</v>
      </c>
      <c r="B22" s="13"/>
      <c r="C22" s="13"/>
      <c r="D22" s="13"/>
    </row>
    <row r="23" customFormat="false" ht="15" hidden="false" customHeight="false" outlineLevel="0" collapsed="false">
      <c r="A23" s="13" t="s">
        <v>352</v>
      </c>
      <c r="B23" s="13"/>
      <c r="C23" s="13"/>
      <c r="D23" s="13"/>
    </row>
    <row r="24" customFormat="false" ht="15" hidden="false" customHeight="false" outlineLevel="0" collapsed="false">
      <c r="A24" s="13" t="s">
        <v>66</v>
      </c>
      <c r="B24" s="13"/>
      <c r="C24" s="13"/>
      <c r="D24" s="13"/>
    </row>
    <row r="25" customFormat="false" ht="15" hidden="false" customHeight="false" outlineLevel="0" collapsed="false">
      <c r="A25" s="13" t="s">
        <v>76</v>
      </c>
      <c r="B25" s="13"/>
      <c r="C25" s="13"/>
      <c r="D25" s="13"/>
    </row>
    <row r="26" customFormat="false" ht="15" hidden="false" customHeight="false" outlineLevel="0" collapsed="false">
      <c r="A26" s="13" t="s">
        <v>85</v>
      </c>
      <c r="B26" s="13"/>
      <c r="C26" s="13"/>
      <c r="D26" s="13"/>
    </row>
    <row r="27" customFormat="false" ht="15" hidden="false" customHeight="false" outlineLevel="0" collapsed="false">
      <c r="A27" s="13" t="s">
        <v>93</v>
      </c>
      <c r="B27" s="13"/>
      <c r="C27" s="13"/>
      <c r="D27" s="13"/>
    </row>
    <row r="28" customFormat="false" ht="15" hidden="false" customHeight="false" outlineLevel="0" collapsed="false">
      <c r="A28" s="13" t="s">
        <v>100</v>
      </c>
      <c r="B28" s="13"/>
      <c r="C28" s="13"/>
      <c r="D28" s="13"/>
    </row>
    <row r="29" customFormat="false" ht="15" hidden="false" customHeight="false" outlineLevel="0" collapsed="false">
      <c r="A29" s="13" t="s">
        <v>108</v>
      </c>
      <c r="B29" s="13"/>
      <c r="C29" s="13"/>
      <c r="D29" s="13"/>
    </row>
    <row r="30" customFormat="false" ht="15" hidden="false" customHeight="false" outlineLevel="0" collapsed="false">
      <c r="A30" s="13" t="s">
        <v>116</v>
      </c>
      <c r="B30" s="13"/>
      <c r="C30" s="13"/>
      <c r="D30" s="13"/>
    </row>
    <row r="31" customFormat="false" ht="15" hidden="false" customHeight="false" outlineLevel="0" collapsed="false">
      <c r="A31" s="13"/>
      <c r="B31" s="13"/>
      <c r="C31" s="13"/>
      <c r="D31" s="13"/>
    </row>
    <row r="32" customFormat="false" ht="15" hidden="false" customHeight="false" outlineLevel="0" collapsed="false">
      <c r="A32" s="11" t="s">
        <v>353</v>
      </c>
      <c r="B32" s="13"/>
      <c r="C32" s="13"/>
      <c r="D32" s="13"/>
    </row>
    <row r="33" customFormat="false" ht="15" hidden="false" customHeight="false" outlineLevel="0" collapsed="false">
      <c r="A33" s="13" t="s">
        <v>354</v>
      </c>
      <c r="B33" s="14" t="s">
        <v>355</v>
      </c>
      <c r="C33" s="13"/>
      <c r="D33" s="13"/>
    </row>
    <row r="34" customFormat="false" ht="15" hidden="false" customHeight="false" outlineLevel="0" collapsed="false">
      <c r="A34" s="13" t="s">
        <v>356</v>
      </c>
      <c r="B34" s="13" t="s">
        <v>343</v>
      </c>
      <c r="C34" s="13"/>
      <c r="D34" s="13"/>
    </row>
    <row r="35" customFormat="false" ht="15" hidden="false" customHeight="false" outlineLevel="0" collapsed="false">
      <c r="A35" s="13" t="s">
        <v>357</v>
      </c>
      <c r="B35" s="13" t="s">
        <v>358</v>
      </c>
      <c r="C35" s="13"/>
      <c r="D35" s="13"/>
    </row>
  </sheetData>
  <conditionalFormatting sqref="A3:A10">
    <cfRule type="expression" priority="2" aboveAverage="0" equalAverage="0" bottom="0" percent="0" rank="0" text="" dxfId="3">
      <formula>LEN(A3)&gt;25</formula>
    </cfRule>
  </conditionalFormatting>
  <conditionalFormatting sqref="B3:C10">
    <cfRule type="expression" priority="3" aboveAverage="0" equalAverage="0" bottom="0" percent="0" rank="0" text="" dxfId="3">
      <formula>LEN(B3)&gt;35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5" t="s">
        <v>359</v>
      </c>
    </row>
    <row r="2" customFormat="false" ht="15" hidden="false" customHeight="false" outlineLevel="0" collapsed="false">
      <c r="A2" s="10" t="s">
        <v>360</v>
      </c>
    </row>
    <row r="4" customFormat="false" ht="15" hidden="false" customHeight="false" outlineLevel="0" collapsed="false">
      <c r="A4" s="16" t="s">
        <v>361</v>
      </c>
      <c r="B4" s="17" t="n">
        <v>30</v>
      </c>
      <c r="C4" s="18" t="s">
        <v>362</v>
      </c>
    </row>
    <row r="5" customFormat="false" ht="15" hidden="false" customHeight="false" outlineLevel="0" collapsed="false">
      <c r="A5" s="16" t="s">
        <v>363</v>
      </c>
      <c r="B5" s="17" t="n">
        <v>30</v>
      </c>
      <c r="C5" s="18"/>
    </row>
    <row r="6" customFormat="false" ht="15" hidden="false" customHeight="false" outlineLevel="0" collapsed="false">
      <c r="A6" s="16" t="s">
        <v>364</v>
      </c>
      <c r="B6" s="19" t="n">
        <v>1.5</v>
      </c>
      <c r="C6" s="18" t="s">
        <v>365</v>
      </c>
    </row>
    <row r="7" customFormat="false" ht="15" hidden="false" customHeight="false" outlineLevel="0" collapsed="false">
      <c r="A7" s="16" t="s">
        <v>366</v>
      </c>
      <c r="B7" s="20" t="n">
        <v>0.03</v>
      </c>
      <c r="C7" s="18" t="s">
        <v>367</v>
      </c>
    </row>
    <row r="8" customFormat="false" ht="15" hidden="false" customHeight="false" outlineLevel="0" collapsed="false">
      <c r="A8" s="16" t="s">
        <v>368</v>
      </c>
      <c r="B8" s="20" t="n">
        <v>0.25</v>
      </c>
      <c r="C8" s="18" t="s">
        <v>369</v>
      </c>
    </row>
    <row r="9" customFormat="false" ht="15" hidden="false" customHeight="false" outlineLevel="0" collapsed="false">
      <c r="A9" s="16" t="s">
        <v>370</v>
      </c>
      <c r="B9" s="21" t="n">
        <v>1500</v>
      </c>
      <c r="C9" s="18" t="s">
        <v>371</v>
      </c>
    </row>
    <row r="10" customFormat="false" ht="15" hidden="false" customHeight="false" outlineLevel="0" collapsed="false">
      <c r="A10" s="11" t="s">
        <v>372</v>
      </c>
    </row>
    <row r="11" customFormat="false" ht="15" hidden="false" customHeight="false" outlineLevel="0" collapsed="false">
      <c r="A11" s="16" t="s">
        <v>373</v>
      </c>
      <c r="B11" s="22" t="n">
        <f aca="false">B4*B5</f>
        <v>900</v>
      </c>
      <c r="C11" s="18"/>
    </row>
    <row r="12" customFormat="false" ht="15" hidden="false" customHeight="false" outlineLevel="0" collapsed="false">
      <c r="A12" s="16" t="s">
        <v>374</v>
      </c>
      <c r="B12" s="22" t="n">
        <f aca="false">IFERROR(B11/B6,0)</f>
        <v>600</v>
      </c>
      <c r="C12" s="18"/>
    </row>
    <row r="13" customFormat="false" ht="15" hidden="false" customHeight="false" outlineLevel="0" collapsed="false">
      <c r="A13" s="16" t="s">
        <v>375</v>
      </c>
      <c r="B13" s="23" t="n">
        <f aca="false">B12*B7</f>
        <v>18</v>
      </c>
      <c r="C13" s="18"/>
    </row>
    <row r="14" customFormat="false" ht="15" hidden="false" customHeight="false" outlineLevel="0" collapsed="false">
      <c r="A14" s="16" t="s">
        <v>376</v>
      </c>
      <c r="B14" s="24" t="n">
        <f aca="false">IFERROR(B11/B13,0)</f>
        <v>50</v>
      </c>
      <c r="C14" s="18"/>
    </row>
    <row r="15" customFormat="false" ht="15" hidden="false" customHeight="false" outlineLevel="0" collapsed="false">
      <c r="A15" s="16" t="s">
        <v>377</v>
      </c>
      <c r="B15" s="23" t="n">
        <f aca="false">B13*B8</f>
        <v>4.5</v>
      </c>
      <c r="C15" s="18"/>
    </row>
    <row r="16" customFormat="false" ht="15" hidden="false" customHeight="false" outlineLevel="0" collapsed="false">
      <c r="A16" s="16" t="s">
        <v>378</v>
      </c>
      <c r="B16" s="22" t="n">
        <f aca="false">IFERROR(B11/B15,0)</f>
        <v>200</v>
      </c>
      <c r="C16" s="18"/>
    </row>
    <row r="17" customFormat="false" ht="15" hidden="false" customHeight="false" outlineLevel="0" collapsed="false">
      <c r="A17" s="16" t="s">
        <v>379</v>
      </c>
      <c r="B17" s="22" t="n">
        <f aca="false">B15*B9</f>
        <v>6750</v>
      </c>
      <c r="C17" s="18"/>
    </row>
    <row r="18" customFormat="false" ht="15" hidden="false" customHeight="false" outlineLevel="0" collapsed="false">
      <c r="A18" s="16" t="s">
        <v>380</v>
      </c>
      <c r="B18" s="25" t="n">
        <f aca="false">IFERROR(B17/B11,0)</f>
        <v>7.5</v>
      </c>
      <c r="C18" s="18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2026-10-05T13:00:27Z</dcterms:created>
  <dc:creator>openpyxl</dc:creator>
  <dc:description/>
  <dc:language>en-US</dc:language>
  <cp:lastModifiedBy/>
  <dcterms:modified xsi:type="dcterms:W3CDTF">2026-10-05T13:00:27Z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